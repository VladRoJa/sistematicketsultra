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1242eafb844fc/Escritorio/work/TDC - TDD/"/>
    </mc:Choice>
  </mc:AlternateContent>
  <xr:revisionPtr revIDLastSave="4972" documentId="13_ncr:1_{3F9CBE50-65EB-455E-87E7-91DFF6F06B31}" xr6:coauthVersionLast="47" xr6:coauthVersionMax="47" xr10:uidLastSave="{16F2945D-BA87-4A63-BD8E-7FF10CB27B0F}"/>
  <bookViews>
    <workbookView xWindow="-103" yWindow="-103" windowWidth="22149" windowHeight="13920" xr2:uid="{00000000-000D-0000-FFFF-FFFF00000000}"/>
  </bookViews>
  <sheets>
    <sheet name="DIARIO 04 OCT" sheetId="1" r:id="rId1"/>
    <sheet name="Semanal" sheetId="4" r:id="rId2"/>
    <sheet name="Totales Mensual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AI41" i="4"/>
  <c r="AH41" i="4"/>
  <c r="AG41" i="4"/>
  <c r="AF41" i="4"/>
  <c r="AE41" i="4"/>
  <c r="AJ41" i="4" s="1"/>
  <c r="AD41" i="4"/>
  <c r="AC41" i="4"/>
  <c r="AB41" i="4"/>
  <c r="AI40" i="4"/>
  <c r="AH40" i="4"/>
  <c r="AG40" i="4"/>
  <c r="AF40" i="4"/>
  <c r="AE40" i="4"/>
  <c r="AJ40" i="4" s="1"/>
  <c r="AD40" i="4"/>
  <c r="AC40" i="4"/>
  <c r="AB40" i="4"/>
  <c r="AI39" i="4"/>
  <c r="AH39" i="4"/>
  <c r="AG39" i="4"/>
  <c r="AF39" i="4"/>
  <c r="AE39" i="4"/>
  <c r="AJ39" i="4" s="1"/>
  <c r="AD39" i="4"/>
  <c r="AC39" i="4"/>
  <c r="AB39" i="4"/>
  <c r="AI38" i="4"/>
  <c r="AH38" i="4"/>
  <c r="AG38" i="4"/>
  <c r="AF38" i="4"/>
  <c r="AE38" i="4"/>
  <c r="AJ38" i="4" s="1"/>
  <c r="AD38" i="4"/>
  <c r="AC38" i="4"/>
  <c r="AB38" i="4"/>
  <c r="AI37" i="4"/>
  <c r="AH37" i="4"/>
  <c r="AG37" i="4"/>
  <c r="AF37" i="4"/>
  <c r="AJ37" i="4" s="1"/>
  <c r="AE37" i="4"/>
  <c r="AD37" i="4"/>
  <c r="AC37" i="4"/>
  <c r="AB37" i="4"/>
  <c r="AI34" i="4"/>
  <c r="AJ32" i="4"/>
  <c r="AI30" i="4"/>
  <c r="AC30" i="4"/>
  <c r="AC34" i="4" s="1"/>
  <c r="AB30" i="4"/>
  <c r="AB34" i="4" s="1"/>
  <c r="AA30" i="4"/>
  <c r="U30" i="4"/>
  <c r="T30" i="4"/>
  <c r="S30" i="4"/>
  <c r="M30" i="4"/>
  <c r="L30" i="4"/>
  <c r="K30" i="4"/>
  <c r="E30" i="4"/>
  <c r="D30" i="4"/>
  <c r="C30" i="4"/>
  <c r="AI29" i="4"/>
  <c r="AH29" i="4"/>
  <c r="AG29" i="4"/>
  <c r="AF29" i="4"/>
  <c r="AE29" i="4"/>
  <c r="AJ29" i="4" s="1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J28" i="4"/>
  <c r="AJ27" i="4"/>
  <c r="AJ26" i="4"/>
  <c r="AJ25" i="4"/>
  <c r="AI24" i="4"/>
  <c r="AH24" i="4"/>
  <c r="AH30" i="4" s="1"/>
  <c r="AH34" i="4" s="1"/>
  <c r="AG24" i="4"/>
  <c r="AG30" i="4" s="1"/>
  <c r="AG34" i="4" s="1"/>
  <c r="AF24" i="4"/>
  <c r="AF30" i="4" s="1"/>
  <c r="AF34" i="4" s="1"/>
  <c r="AE24" i="4"/>
  <c r="AJ24" i="4" s="1"/>
  <c r="AD24" i="4"/>
  <c r="AD30" i="4" s="1"/>
  <c r="AD34" i="4" s="1"/>
  <c r="AC24" i="4"/>
  <c r="AB24" i="4"/>
  <c r="AA24" i="4"/>
  <c r="Z24" i="4"/>
  <c r="Z30" i="4" s="1"/>
  <c r="Y24" i="4"/>
  <c r="Y30" i="4" s="1"/>
  <c r="X24" i="4"/>
  <c r="X30" i="4" s="1"/>
  <c r="W24" i="4"/>
  <c r="W30" i="4" s="1"/>
  <c r="V24" i="4"/>
  <c r="V30" i="4" s="1"/>
  <c r="U24" i="4"/>
  <c r="T24" i="4"/>
  <c r="S24" i="4"/>
  <c r="R24" i="4"/>
  <c r="R30" i="4" s="1"/>
  <c r="Q24" i="4"/>
  <c r="Q30" i="4" s="1"/>
  <c r="P24" i="4"/>
  <c r="P30" i="4" s="1"/>
  <c r="O24" i="4"/>
  <c r="O30" i="4" s="1"/>
  <c r="N24" i="4"/>
  <c r="N30" i="4" s="1"/>
  <c r="M24" i="4"/>
  <c r="L24" i="4"/>
  <c r="K24" i="4"/>
  <c r="J24" i="4"/>
  <c r="J30" i="4" s="1"/>
  <c r="I24" i="4"/>
  <c r="I30" i="4" s="1"/>
  <c r="H24" i="4"/>
  <c r="H30" i="4" s="1"/>
  <c r="G24" i="4"/>
  <c r="G30" i="4" s="1"/>
  <c r="F24" i="4"/>
  <c r="F30" i="4" s="1"/>
  <c r="E24" i="4"/>
  <c r="D24" i="4"/>
  <c r="C24" i="4"/>
  <c r="B24" i="4"/>
  <c r="B30" i="4" s="1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30" i="4" l="1"/>
  <c r="AE30" i="4"/>
  <c r="AE34" i="4" s="1"/>
  <c r="AJ34" i="4" s="1"/>
  <c r="C24" i="1" l="1"/>
  <c r="P32" i="2" l="1"/>
  <c r="O32" i="2"/>
  <c r="H32" i="2"/>
  <c r="G32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V25" i="2"/>
  <c r="V32" i="2" s="1"/>
  <c r="U25" i="2"/>
  <c r="U32" i="2" s="1"/>
  <c r="T25" i="2"/>
  <c r="T32" i="2" s="1"/>
  <c r="S25" i="2"/>
  <c r="S32" i="2" s="1"/>
  <c r="R25" i="2"/>
  <c r="R32" i="2" s="1"/>
  <c r="Q25" i="2"/>
  <c r="Q32" i="2" s="1"/>
  <c r="P25" i="2"/>
  <c r="O25" i="2"/>
  <c r="N25" i="2"/>
  <c r="N32" i="2" s="1"/>
  <c r="M25" i="2"/>
  <c r="M32" i="2" s="1"/>
  <c r="L25" i="2"/>
  <c r="L32" i="2" s="1"/>
  <c r="K25" i="2"/>
  <c r="K32" i="2" s="1"/>
  <c r="J25" i="2"/>
  <c r="J32" i="2" s="1"/>
  <c r="I25" i="2"/>
  <c r="I32" i="2" s="1"/>
  <c r="H25" i="2"/>
  <c r="G25" i="2"/>
  <c r="F25" i="2"/>
  <c r="F32" i="2" s="1"/>
  <c r="E25" i="2"/>
  <c r="E32" i="2" s="1"/>
  <c r="D25" i="2"/>
  <c r="D32" i="2" s="1"/>
  <c r="C25" i="2"/>
  <c r="C32" i="2" s="1"/>
  <c r="C31" i="1" l="1"/>
</calcChain>
</file>

<file path=xl/sharedStrings.xml><?xml version="1.0" encoding="utf-8"?>
<sst xmlns="http://schemas.openxmlformats.org/spreadsheetml/2006/main" count="197" uniqueCount="90">
  <si>
    <t>Sucursal</t>
  </si>
  <si>
    <t>VILLAS DEL REY</t>
  </si>
  <si>
    <t>VILLA VERDE</t>
  </si>
  <si>
    <t>VILLA VERDE MEXICALI</t>
  </si>
  <si>
    <t>INDEPENDENCIA</t>
  </si>
  <si>
    <t>TEC MXL</t>
  </si>
  <si>
    <t>TEC MEXICALI</t>
  </si>
  <si>
    <t>SEND MXL</t>
  </si>
  <si>
    <t>SENDERO MEXICALI</t>
  </si>
  <si>
    <t>SAN LUIS</t>
  </si>
  <si>
    <t>PABELLON RTO</t>
  </si>
  <si>
    <t>PABELLON ROSARITO</t>
  </si>
  <si>
    <t>MISION ENS</t>
  </si>
  <si>
    <t>MISION ENSENADA</t>
  </si>
  <si>
    <t>PASEO 2000</t>
  </si>
  <si>
    <t>LOMA BONITA</t>
  </si>
  <si>
    <t>SANTA FE</t>
  </si>
  <si>
    <t>CARROUSEL TJ</t>
  </si>
  <si>
    <t>CARROUSEL TIJUANA</t>
  </si>
  <si>
    <t>PAPALOTE TJ</t>
  </si>
  <si>
    <t>PAPALOTE TIJUANA</t>
  </si>
  <si>
    <t>SEND CUL</t>
  </si>
  <si>
    <t>SENDERO CULIACAN</t>
  </si>
  <si>
    <t>SAN ISIDRO CUL</t>
  </si>
  <si>
    <t>SAN ISIDRO CULIACAN</t>
  </si>
  <si>
    <t>AZAHARES CUL</t>
  </si>
  <si>
    <t>AZAHARES CULIACAN</t>
  </si>
  <si>
    <t>STA CATARINA</t>
  </si>
  <si>
    <t>SANTA CATARINA</t>
  </si>
  <si>
    <t>SEND SALTILLO</t>
  </si>
  <si>
    <t>SENDERO SALTILLO</t>
  </si>
  <si>
    <t>SEND CHIH</t>
  </si>
  <si>
    <t>SENDERO CHIHUAHUA</t>
  </si>
  <si>
    <t>PASEO LA PAZ</t>
  </si>
  <si>
    <t>IXTAPALUCA</t>
  </si>
  <si>
    <t>INSURGENTES</t>
  </si>
  <si>
    <t>METEPEC</t>
  </si>
  <si>
    <t>TLALNEPANTLA</t>
  </si>
  <si>
    <t>SALTILLO VILLALTA</t>
  </si>
  <si>
    <t>TOTAL</t>
  </si>
  <si>
    <t>Subtotal 21 gyms</t>
  </si>
  <si>
    <t>Subtotal gyms nuevos</t>
  </si>
  <si>
    <t xml:space="preserve">REPORTE DE VENTA DE CONTRATOS NUEVOS </t>
  </si>
  <si>
    <t>CORPORATIVO</t>
  </si>
  <si>
    <t>15 - 21 Feb</t>
  </si>
  <si>
    <t>22 - 28 Feb</t>
  </si>
  <si>
    <t>01 - 07 Mar</t>
  </si>
  <si>
    <t>08 - 14 Mar</t>
  </si>
  <si>
    <t>15 - 21 Mar</t>
  </si>
  <si>
    <t>08-14 Feb</t>
  </si>
  <si>
    <t>22 - 28 Mar</t>
  </si>
  <si>
    <t>29 Mar - 04 Abr</t>
  </si>
  <si>
    <t>05 - 11 Abr</t>
  </si>
  <si>
    <t>12- 18 Abr</t>
  </si>
  <si>
    <t>19- 25 Abr</t>
  </si>
  <si>
    <t>26 Abr - 02 May</t>
  </si>
  <si>
    <t>03 - 09 May</t>
  </si>
  <si>
    <t>10 - 16 May</t>
  </si>
  <si>
    <t>17 - 23 May</t>
  </si>
  <si>
    <t>SERRANÍA</t>
  </si>
  <si>
    <t>SERRANIA</t>
  </si>
  <si>
    <t>24 - 30 May</t>
  </si>
  <si>
    <t>31 May - 06 Jun</t>
  </si>
  <si>
    <t>07 - 13 Jun</t>
  </si>
  <si>
    <t>14 - 20 Jun</t>
  </si>
  <si>
    <t>21 - 27 Jun</t>
  </si>
  <si>
    <t>28 Jun - 04 Jul</t>
  </si>
  <si>
    <t>05 - 11 Jul</t>
  </si>
  <si>
    <t>12 - 18 Jul</t>
  </si>
  <si>
    <t>19 - 25 Jul</t>
  </si>
  <si>
    <t>02 - 08 Ago</t>
  </si>
  <si>
    <t>26 Jul - 01 Ago</t>
  </si>
  <si>
    <t>09  - 15 Ago</t>
  </si>
  <si>
    <t>16 - 22 Ago</t>
  </si>
  <si>
    <t>23 - 29 Ago</t>
  </si>
  <si>
    <t>30 Ago - 05 Sept</t>
  </si>
  <si>
    <t>06 - 12 Sept</t>
  </si>
  <si>
    <t>13 - 19 Sept</t>
  </si>
  <si>
    <t>Promedio semanal</t>
  </si>
  <si>
    <t>Total+Serrania</t>
  </si>
  <si>
    <t>Región</t>
  </si>
  <si>
    <t>Mexicali</t>
  </si>
  <si>
    <t>Costa</t>
  </si>
  <si>
    <t>Cln / La Paz</t>
  </si>
  <si>
    <t>Noreste</t>
  </si>
  <si>
    <t>Centro</t>
  </si>
  <si>
    <t>CONTRATOS NUEVOS POR DÍA - SEMANA 27 DE SEPTIEMBRE AL 03 DE OCTUBRE</t>
  </si>
  <si>
    <t>20 - 26 Sept</t>
  </si>
  <si>
    <t>CONTRATOS NUEVOS - SEMANA 27 DE SEPTIEMBRE AL 03 DE OCTUBRE</t>
  </si>
  <si>
    <t>27 Sept - 03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</si>
</sst>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FF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3" fillId="0" borderId="4" xfId="0" applyFont="1" applyBorder="1"/>
    <xf numFmtId="0" fontId="3" fillId="0" borderId="11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12" xfId="0" applyFont="1" applyBorder="1"/>
    <xf numFmtId="0" fontId="3" fillId="0" borderId="10" xfId="0" applyFont="1" applyBorder="1"/>
    <xf numFmtId="0" fontId="4" fillId="4" borderId="1" xfId="0" applyFont="1" applyFill="1" applyBorder="1"/>
    <xf numFmtId="0" fontId="4" fillId="4" borderId="6" xfId="0" applyFont="1" applyFill="1" applyBorder="1"/>
    <xf numFmtId="16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/>
    <xf numFmtId="17" fontId="4" fillId="5" borderId="7" xfId="0" applyNumberFormat="1" applyFont="1" applyFill="1" applyBorder="1"/>
    <xf numFmtId="17" fontId="4" fillId="5" borderId="1" xfId="0" applyNumberFormat="1" applyFont="1" applyFill="1" applyBorder="1"/>
    <xf numFmtId="17" fontId="4" fillId="5" borderId="8" xfId="0" applyNumberFormat="1" applyFont="1" applyFill="1" applyBorder="1"/>
    <xf numFmtId="0" fontId="3" fillId="0" borderId="2" xfId="0" applyFont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8" fillId="3" borderId="9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16" fontId="4" fillId="0" borderId="7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16" fontId="4" fillId="0" borderId="1" xfId="0" applyNumberFormat="1" applyFont="1" applyBorder="1" applyAlignment="1">
      <alignment horizontal="left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4" borderId="11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left" vertical="center"/>
    </xf>
    <xf numFmtId="17" fontId="4" fillId="7" borderId="1" xfId="0" applyNumberFormat="1" applyFont="1" applyFill="1" applyBorder="1" applyAlignment="1">
      <alignment vertical="center"/>
    </xf>
    <xf numFmtId="16" fontId="4" fillId="7" borderId="11" xfId="0" applyNumberFormat="1" applyFont="1" applyFill="1" applyBorder="1" applyAlignment="1">
      <alignment horizontal="right" vertical="center"/>
    </xf>
    <xf numFmtId="16" fontId="4" fillId="7" borderId="1" xfId="0" applyNumberFormat="1" applyFont="1" applyFill="1" applyBorder="1" applyAlignment="1">
      <alignment horizontal="right" vertical="center"/>
    </xf>
    <xf numFmtId="16" fontId="4" fillId="7" borderId="7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16" fontId="4" fillId="5" borderId="1" xfId="0" applyNumberFormat="1" applyFont="1" applyFill="1" applyBorder="1" applyAlignment="1">
      <alignment horizontal="right" vertical="center"/>
    </xf>
    <xf numFmtId="16" fontId="4" fillId="6" borderId="1" xfId="0" applyNumberFormat="1" applyFont="1" applyFill="1" applyBorder="1" applyAlignment="1">
      <alignment horizontal="center" vertical="center"/>
    </xf>
    <xf numFmtId="17" fontId="4" fillId="7" borderId="1" xfId="0" applyNumberFormat="1" applyFont="1" applyFill="1" applyBorder="1"/>
    <xf numFmtId="0" fontId="8" fillId="3" borderId="4" xfId="0" applyFont="1" applyFill="1" applyBorder="1" applyAlignment="1">
      <alignment horizontal="left" vertical="center"/>
    </xf>
    <xf numFmtId="17" fontId="4" fillId="6" borderId="11" xfId="0" applyNumberFormat="1" applyFont="1" applyFill="1" applyBorder="1"/>
    <xf numFmtId="0" fontId="3" fillId="0" borderId="5" xfId="0" applyFont="1" applyBorder="1"/>
    <xf numFmtId="17" fontId="4" fillId="7" borderId="11" xfId="0" applyNumberFormat="1" applyFont="1" applyFill="1" applyBorder="1"/>
    <xf numFmtId="16" fontId="4" fillId="5" borderId="1" xfId="0" applyNumberFormat="1" applyFont="1" applyFill="1" applyBorder="1"/>
    <xf numFmtId="16" fontId="4" fillId="0" borderId="2" xfId="0" applyNumberFormat="1" applyFont="1" applyBorder="1" applyAlignment="1">
      <alignment horizontal="right"/>
    </xf>
    <xf numFmtId="16" fontId="3" fillId="0" borderId="18" xfId="0" applyNumberFormat="1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1" xfId="0" applyFont="1" applyBorder="1"/>
    <xf numFmtId="0" fontId="3" fillId="0" borderId="22" xfId="0" applyFont="1" applyBorder="1"/>
    <xf numFmtId="16" fontId="3" fillId="0" borderId="19" xfId="0" applyNumberFormat="1" applyFont="1" applyBorder="1"/>
    <xf numFmtId="0" fontId="3" fillId="0" borderId="13" xfId="0" applyFont="1" applyBorder="1"/>
    <xf numFmtId="0" fontId="3" fillId="0" borderId="19" xfId="0" applyFont="1" applyBorder="1"/>
    <xf numFmtId="0" fontId="3" fillId="0" borderId="23" xfId="0" applyFont="1" applyBorder="1"/>
    <xf numFmtId="0" fontId="3" fillId="0" borderId="24" xfId="0" applyFont="1" applyBorder="1"/>
    <xf numFmtId="16" fontId="4" fillId="0" borderId="2" xfId="0" applyNumberFormat="1" applyFont="1" applyBorder="1" applyAlignment="1">
      <alignment horizontal="right" vertical="center"/>
    </xf>
    <xf numFmtId="16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7" fontId="4" fillId="7" borderId="1" xfId="0" applyNumberFormat="1" applyFont="1" applyFill="1" applyBorder="1" applyAlignment="1">
      <alignment horizontal="center" vertical="center" wrapText="1"/>
    </xf>
    <xf numFmtId="16" fontId="3" fillId="8" borderId="18" xfId="0" applyNumberFormat="1" applyFont="1" applyFill="1" applyBorder="1" applyAlignment="1">
      <alignment vertical="center"/>
    </xf>
    <xf numFmtId="0" fontId="3" fillId="8" borderId="18" xfId="0" applyFont="1" applyFill="1" applyBorder="1" applyAlignment="1">
      <alignment horizontal="right" vertical="center"/>
    </xf>
    <xf numFmtId="1" fontId="3" fillId="8" borderId="18" xfId="0" applyNumberFormat="1" applyFont="1" applyFill="1" applyBorder="1" applyAlignment="1">
      <alignment horizontal="right" vertical="center"/>
    </xf>
    <xf numFmtId="16" fontId="3" fillId="8" borderId="19" xfId="0" applyNumberFormat="1" applyFont="1" applyFill="1" applyBorder="1" applyAlignment="1">
      <alignment vertical="center"/>
    </xf>
    <xf numFmtId="0" fontId="3" fillId="8" borderId="19" xfId="0" applyFont="1" applyFill="1" applyBorder="1" applyAlignment="1">
      <alignment horizontal="right" vertical="center"/>
    </xf>
    <xf numFmtId="1" fontId="3" fillId="8" borderId="19" xfId="0" applyNumberFormat="1" applyFont="1" applyFill="1" applyBorder="1" applyAlignment="1">
      <alignment horizontal="right" vertical="center"/>
    </xf>
    <xf numFmtId="16" fontId="3" fillId="8" borderId="20" xfId="0" applyNumberFormat="1" applyFont="1" applyFill="1" applyBorder="1" applyAlignment="1">
      <alignment vertical="center"/>
    </xf>
    <xf numFmtId="0" fontId="3" fillId="8" borderId="20" xfId="0" applyFont="1" applyFill="1" applyBorder="1" applyAlignment="1">
      <alignment horizontal="right" vertical="center"/>
    </xf>
    <xf numFmtId="1" fontId="3" fillId="8" borderId="20" xfId="0" applyNumberFormat="1" applyFont="1" applyFill="1" applyBorder="1" applyAlignment="1">
      <alignment horizontal="right" vertical="center"/>
    </xf>
    <xf numFmtId="16" fontId="3" fillId="4" borderId="19" xfId="0" applyNumberFormat="1" applyFont="1" applyFill="1" applyBorder="1" applyAlignment="1">
      <alignment vertical="center"/>
    </xf>
    <xf numFmtId="0" fontId="3" fillId="4" borderId="19" xfId="0" applyFont="1" applyFill="1" applyBorder="1" applyAlignment="1">
      <alignment horizontal="right" vertical="center"/>
    </xf>
    <xf numFmtId="1" fontId="3" fillId="4" borderId="19" xfId="0" applyNumberFormat="1" applyFont="1" applyFill="1" applyBorder="1" applyAlignment="1">
      <alignment horizontal="right" vertical="center"/>
    </xf>
    <xf numFmtId="16" fontId="3" fillId="4" borderId="20" xfId="0" applyNumberFormat="1" applyFont="1" applyFill="1" applyBorder="1" applyAlignment="1">
      <alignment vertical="center"/>
    </xf>
    <xf numFmtId="0" fontId="3" fillId="4" borderId="20" xfId="0" applyFont="1" applyFill="1" applyBorder="1" applyAlignment="1">
      <alignment horizontal="right" vertical="center"/>
    </xf>
    <xf numFmtId="1" fontId="3" fillId="4" borderId="20" xfId="0" applyNumberFormat="1" applyFont="1" applyFill="1" applyBorder="1" applyAlignment="1">
      <alignment horizontal="right" vertical="center"/>
    </xf>
    <xf numFmtId="16" fontId="3" fillId="9" borderId="19" xfId="0" applyNumberFormat="1" applyFont="1" applyFill="1" applyBorder="1" applyAlignment="1">
      <alignment vertical="center"/>
    </xf>
    <xf numFmtId="0" fontId="3" fillId="9" borderId="19" xfId="0" applyFont="1" applyFill="1" applyBorder="1" applyAlignment="1">
      <alignment horizontal="right" vertical="center"/>
    </xf>
    <xf numFmtId="1" fontId="3" fillId="9" borderId="19" xfId="0" applyNumberFormat="1" applyFont="1" applyFill="1" applyBorder="1" applyAlignment="1">
      <alignment horizontal="right" vertical="center"/>
    </xf>
    <xf numFmtId="16" fontId="3" fillId="9" borderId="20" xfId="0" applyNumberFormat="1" applyFont="1" applyFill="1" applyBorder="1" applyAlignment="1">
      <alignment vertical="center"/>
    </xf>
    <xf numFmtId="0" fontId="3" fillId="9" borderId="20" xfId="0" applyFont="1" applyFill="1" applyBorder="1" applyAlignment="1">
      <alignment horizontal="right" vertical="center"/>
    </xf>
    <xf numFmtId="1" fontId="3" fillId="9" borderId="20" xfId="0" applyNumberFormat="1" applyFont="1" applyFill="1" applyBorder="1" applyAlignment="1">
      <alignment horizontal="right" vertical="center"/>
    </xf>
    <xf numFmtId="16" fontId="3" fillId="10" borderId="19" xfId="0" applyNumberFormat="1" applyFont="1" applyFill="1" applyBorder="1" applyAlignment="1">
      <alignment vertical="center"/>
    </xf>
    <xf numFmtId="0" fontId="3" fillId="10" borderId="19" xfId="0" applyFont="1" applyFill="1" applyBorder="1" applyAlignment="1">
      <alignment horizontal="right" vertical="center"/>
    </xf>
    <xf numFmtId="1" fontId="3" fillId="10" borderId="19" xfId="0" applyNumberFormat="1" applyFont="1" applyFill="1" applyBorder="1" applyAlignment="1">
      <alignment horizontal="right" vertical="center"/>
    </xf>
    <xf numFmtId="16" fontId="3" fillId="11" borderId="19" xfId="0" applyNumberFormat="1" applyFont="1" applyFill="1" applyBorder="1" applyAlignment="1">
      <alignment vertical="center"/>
    </xf>
    <xf numFmtId="0" fontId="3" fillId="11" borderId="19" xfId="0" applyFont="1" applyFill="1" applyBorder="1" applyAlignment="1">
      <alignment horizontal="right" vertical="center"/>
    </xf>
    <xf numFmtId="1" fontId="3" fillId="11" borderId="19" xfId="0" applyNumberFormat="1" applyFont="1" applyFill="1" applyBorder="1" applyAlignment="1">
      <alignment horizontal="right" vertical="center"/>
    </xf>
    <xf numFmtId="0" fontId="3" fillId="11" borderId="5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right" vertical="center"/>
    </xf>
    <xf numFmtId="1" fontId="3" fillId="11" borderId="2" xfId="0" applyNumberFormat="1" applyFont="1" applyFill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right" vertical="center"/>
    </xf>
    <xf numFmtId="0" fontId="3" fillId="11" borderId="11" xfId="0" applyFont="1" applyFill="1" applyBorder="1" applyAlignment="1">
      <alignment vertical="center"/>
    </xf>
    <xf numFmtId="0" fontId="3" fillId="11" borderId="11" xfId="0" applyFont="1" applyFill="1" applyBorder="1" applyAlignment="1">
      <alignment horizontal="right" vertical="center"/>
    </xf>
    <xf numFmtId="0" fontId="3" fillId="11" borderId="10" xfId="0" applyFont="1" applyFill="1" applyBorder="1" applyAlignment="1">
      <alignment horizontal="right" vertical="center"/>
    </xf>
    <xf numFmtId="0" fontId="3" fillId="11" borderId="4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right"/>
    </xf>
    <xf numFmtId="1" fontId="3" fillId="0" borderId="0" xfId="0" applyNumberFormat="1" applyFont="1" applyAlignment="1">
      <alignment vertical="center"/>
    </xf>
    <xf numFmtId="16" fontId="3" fillId="11" borderId="20" xfId="0" applyNumberFormat="1" applyFont="1" applyFill="1" applyBorder="1" applyAlignment="1">
      <alignment vertical="center"/>
    </xf>
    <xf numFmtId="0" fontId="3" fillId="11" borderId="20" xfId="0" applyFont="1" applyFill="1" applyBorder="1" applyAlignment="1">
      <alignment horizontal="right" vertical="center"/>
    </xf>
    <xf numFmtId="1" fontId="3" fillId="11" borderId="20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right" vertical="center"/>
    </xf>
    <xf numFmtId="16" fontId="3" fillId="7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right"/>
    </xf>
    <xf numFmtId="16" fontId="4" fillId="7" borderId="1" xfId="0" applyNumberFormat="1" applyFont="1" applyFill="1" applyBorder="1" applyAlignment="1">
      <alignment vertical="center"/>
    </xf>
    <xf numFmtId="17" fontId="4" fillId="7" borderId="25" xfId="0" applyNumberFormat="1" applyFont="1" applyFill="1" applyBorder="1" applyAlignment="1">
      <alignment vertical="center"/>
    </xf>
    <xf numFmtId="17" fontId="4" fillId="7" borderId="26" xfId="0" applyNumberFormat="1" applyFont="1" applyFill="1" applyBorder="1" applyAlignment="1">
      <alignment vertical="center"/>
    </xf>
    <xf numFmtId="16" fontId="4" fillId="7" borderId="26" xfId="0" applyNumberFormat="1" applyFont="1" applyFill="1" applyBorder="1" applyAlignment="1">
      <alignment horizontal="right" vertical="center"/>
    </xf>
    <xf numFmtId="16" fontId="4" fillId="5" borderId="26" xfId="0" applyNumberFormat="1" applyFont="1" applyFill="1" applyBorder="1" applyAlignment="1">
      <alignment horizontal="right" vertical="center"/>
    </xf>
    <xf numFmtId="16" fontId="4" fillId="7" borderId="27" xfId="0" applyNumberFormat="1" applyFont="1" applyFill="1" applyBorder="1" applyAlignment="1">
      <alignment horizontal="right" vertical="center"/>
    </xf>
    <xf numFmtId="0" fontId="3" fillId="8" borderId="28" xfId="0" applyFont="1" applyFill="1" applyBorder="1" applyAlignment="1">
      <alignment vertical="center"/>
    </xf>
    <xf numFmtId="0" fontId="3" fillId="8" borderId="29" xfId="0" applyFont="1" applyFill="1" applyBorder="1" applyAlignment="1">
      <alignment vertical="center"/>
    </xf>
    <xf numFmtId="0" fontId="3" fillId="8" borderId="30" xfId="0" applyFont="1" applyFill="1" applyBorder="1" applyAlignment="1">
      <alignment vertical="center"/>
    </xf>
    <xf numFmtId="0" fontId="3" fillId="8" borderId="17" xfId="0" applyFont="1" applyFill="1" applyBorder="1" applyAlignment="1">
      <alignment vertical="center"/>
    </xf>
    <xf numFmtId="0" fontId="3" fillId="8" borderId="31" xfId="0" applyFont="1" applyFill="1" applyBorder="1" applyAlignment="1">
      <alignment vertical="center"/>
    </xf>
    <xf numFmtId="0" fontId="3" fillId="4" borderId="32" xfId="0" applyFont="1" applyFill="1" applyBorder="1" applyAlignment="1">
      <alignment vertical="center"/>
    </xf>
    <xf numFmtId="0" fontId="3" fillId="4" borderId="33" xfId="0" applyFont="1" applyFill="1" applyBorder="1" applyAlignment="1">
      <alignment vertical="center"/>
    </xf>
    <xf numFmtId="0" fontId="3" fillId="4" borderId="34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35" xfId="0" applyFont="1" applyFill="1" applyBorder="1" applyAlignment="1">
      <alignment vertical="center"/>
    </xf>
    <xf numFmtId="0" fontId="3" fillId="9" borderId="9" xfId="0" applyFont="1" applyFill="1" applyBorder="1" applyAlignment="1">
      <alignment horizontal="right" vertical="center"/>
    </xf>
    <xf numFmtId="0" fontId="3" fillId="9" borderId="33" xfId="0" applyFont="1" applyFill="1" applyBorder="1" applyAlignment="1">
      <alignment horizontal="right" vertical="center"/>
    </xf>
    <xf numFmtId="0" fontId="3" fillId="9" borderId="35" xfId="0" applyFont="1" applyFill="1" applyBorder="1" applyAlignment="1">
      <alignment horizontal="right" vertical="center"/>
    </xf>
    <xf numFmtId="0" fontId="3" fillId="10" borderId="13" xfId="0" applyFont="1" applyFill="1" applyBorder="1" applyAlignment="1">
      <alignment horizontal="right" vertical="center"/>
    </xf>
    <xf numFmtId="0" fontId="3" fillId="10" borderId="33" xfId="0" applyFont="1" applyFill="1" applyBorder="1" applyAlignment="1">
      <alignment horizontal="right" vertical="center"/>
    </xf>
    <xf numFmtId="0" fontId="3" fillId="10" borderId="35" xfId="0" applyFont="1" applyFill="1" applyBorder="1" applyAlignment="1">
      <alignment horizontal="right" vertical="center"/>
    </xf>
    <xf numFmtId="16" fontId="3" fillId="11" borderId="36" xfId="0" applyNumberFormat="1" applyFont="1" applyFill="1" applyBorder="1" applyAlignment="1">
      <alignment vertical="center"/>
    </xf>
    <xf numFmtId="0" fontId="3" fillId="11" borderId="36" xfId="0" applyFont="1" applyFill="1" applyBorder="1" applyAlignment="1">
      <alignment horizontal="right" vertical="center"/>
    </xf>
    <xf numFmtId="0" fontId="3" fillId="11" borderId="37" xfId="0" applyFont="1" applyFill="1" applyBorder="1" applyAlignment="1">
      <alignment horizontal="right" vertical="center"/>
    </xf>
    <xf numFmtId="0" fontId="3" fillId="11" borderId="38" xfId="0" applyFont="1" applyFill="1" applyBorder="1" applyAlignment="1">
      <alignment horizontal="right" vertical="center"/>
    </xf>
    <xf numFmtId="0" fontId="3" fillId="11" borderId="39" xfId="0" applyFont="1" applyFill="1" applyBorder="1" applyAlignment="1">
      <alignment horizontal="right" vertical="center"/>
    </xf>
    <xf numFmtId="0" fontId="4" fillId="7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16" fontId="4" fillId="6" borderId="1" xfId="0" applyNumberFormat="1" applyFont="1" applyFill="1" applyBorder="1" applyAlignment="1">
      <alignment horizontal="right" vertical="center" wrapText="1"/>
    </xf>
    <xf numFmtId="1" fontId="4" fillId="2" borderId="10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/>
    </xf>
    <xf numFmtId="1" fontId="3" fillId="8" borderId="22" xfId="0" applyNumberFormat="1" applyFont="1" applyFill="1" applyBorder="1" applyAlignment="1">
      <alignment vertical="center"/>
    </xf>
    <xf numFmtId="1" fontId="3" fillId="4" borderId="40" xfId="0" applyNumberFormat="1" applyFont="1" applyFill="1" applyBorder="1" applyAlignment="1">
      <alignment vertical="center"/>
    </xf>
    <xf numFmtId="1" fontId="3" fillId="9" borderId="24" xfId="0" applyNumberFormat="1" applyFont="1" applyFill="1" applyBorder="1" applyAlignment="1">
      <alignment horizontal="right" vertical="center"/>
    </xf>
    <xf numFmtId="1" fontId="3" fillId="10" borderId="24" xfId="0" applyNumberFormat="1" applyFont="1" applyFill="1" applyBorder="1" applyAlignment="1">
      <alignment horizontal="right" vertical="center"/>
    </xf>
    <xf numFmtId="1" fontId="3" fillId="11" borderId="41" xfId="0" applyNumberFormat="1" applyFont="1" applyFill="1" applyBorder="1" applyAlignment="1">
      <alignment horizontal="right" vertical="center"/>
    </xf>
    <xf numFmtId="16" fontId="4" fillId="7" borderId="1" xfId="0" applyNumberFormat="1" applyFont="1" applyFill="1" applyBorder="1" applyAlignment="1">
      <alignment horizontal="right" vertical="center" wrapText="1"/>
    </xf>
    <xf numFmtId="16" fontId="4" fillId="7" borderId="27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Porcentaj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B2" zoomScale="94" zoomScaleNormal="94" workbookViewId="0">
      <selection activeCell="C29" sqref="C29"/>
    </sheetView>
  </sheetViews>
  <sheetFormatPr baseColWidth="10" defaultColWidth="11.2109375" defaultRowHeight="15.9" x14ac:dyDescent="0.45"/>
  <cols>
    <col min="1" max="1" width="16.28515625" style="1" hidden="1" customWidth="1"/>
    <col min="2" max="2" width="16.85546875" style="23" bestFit="1" customWidth="1"/>
    <col min="3" max="3" width="5.140625" style="1" bestFit="1" customWidth="1"/>
    <col min="4" max="16384" width="11.2109375" style="1"/>
  </cols>
  <sheetData>
    <row r="1" spans="1:3" ht="16.850000000000001" customHeight="1" thickBot="1" x14ac:dyDescent="0.5">
      <c r="B1" s="137" t="s">
        <v>86</v>
      </c>
      <c r="C1" s="137"/>
    </row>
    <row r="2" spans="1:3" ht="16.850000000000001" customHeight="1" thickBot="1" x14ac:dyDescent="0.5">
      <c r="B2" s="33" t="s">
        <v>0</v>
      </c>
      <c r="C2" s="43">
        <v>46299</v>
      </c>
    </row>
    <row r="3" spans="1:3" ht="16.2" customHeight="1" x14ac:dyDescent="0.25">
      <c r="A3" s="1" t="s">
        <v>1</v>
      </c>
      <c r="B3" s="19" t="s">
        <v>1</v>
      </c>
      <c r="C3" s="17">
        <v>0</v>
      </c>
    </row>
    <row r="4" spans="1:3" x14ac:dyDescent="0.25">
      <c r="A4" s="1" t="s">
        <v>2</v>
      </c>
      <c r="B4" s="20" t="s">
        <v>3</v>
      </c>
      <c r="C4" s="17">
        <v>0</v>
      </c>
    </row>
    <row r="5" spans="1:3" x14ac:dyDescent="0.25">
      <c r="A5" s="1" t="s">
        <v>4</v>
      </c>
      <c r="B5" s="20" t="s">
        <v>4</v>
      </c>
      <c r="C5" s="17">
        <v>0</v>
      </c>
    </row>
    <row r="6" spans="1:3" x14ac:dyDescent="0.25">
      <c r="A6" s="1" t="s">
        <v>5</v>
      </c>
      <c r="B6" s="20" t="s">
        <v>6</v>
      </c>
      <c r="C6" s="17">
        <v>0</v>
      </c>
    </row>
    <row r="7" spans="1:3" x14ac:dyDescent="0.25">
      <c r="A7" s="1" t="s">
        <v>7</v>
      </c>
      <c r="B7" s="19" t="s">
        <v>8</v>
      </c>
      <c r="C7" s="17">
        <v>0</v>
      </c>
    </row>
    <row r="8" spans="1:3" x14ac:dyDescent="0.25">
      <c r="A8" s="1" t="s">
        <v>9</v>
      </c>
      <c r="B8" s="20" t="s">
        <v>9</v>
      </c>
      <c r="C8" s="17">
        <v>0</v>
      </c>
    </row>
    <row r="9" spans="1:3" x14ac:dyDescent="0.25">
      <c r="A9" s="1" t="s">
        <v>10</v>
      </c>
      <c r="B9" s="20" t="s">
        <v>11</v>
      </c>
      <c r="C9" s="17">
        <v>1</v>
      </c>
    </row>
    <row r="10" spans="1:3" x14ac:dyDescent="0.25">
      <c r="A10" s="1" t="s">
        <v>12</v>
      </c>
      <c r="B10" s="20" t="s">
        <v>13</v>
      </c>
      <c r="C10" s="17">
        <v>0</v>
      </c>
    </row>
    <row r="11" spans="1:3" x14ac:dyDescent="0.25">
      <c r="A11" s="1" t="s">
        <v>14</v>
      </c>
      <c r="B11" s="20" t="s">
        <v>14</v>
      </c>
      <c r="C11" s="17">
        <v>0</v>
      </c>
    </row>
    <row r="12" spans="1:3" x14ac:dyDescent="0.25">
      <c r="A12" s="1" t="s">
        <v>15</v>
      </c>
      <c r="B12" s="20" t="s">
        <v>15</v>
      </c>
      <c r="C12" s="17">
        <v>1</v>
      </c>
    </row>
    <row r="13" spans="1:3" x14ac:dyDescent="0.25">
      <c r="A13" s="1" t="s">
        <v>16</v>
      </c>
      <c r="B13" s="20" t="s">
        <v>16</v>
      </c>
      <c r="C13" s="17">
        <v>0</v>
      </c>
    </row>
    <row r="14" spans="1:3" x14ac:dyDescent="0.25">
      <c r="A14" s="1" t="s">
        <v>17</v>
      </c>
      <c r="B14" s="20" t="s">
        <v>18</v>
      </c>
      <c r="C14" s="17">
        <v>0</v>
      </c>
    </row>
    <row r="15" spans="1:3" ht="14.15" customHeight="1" x14ac:dyDescent="0.25">
      <c r="A15" s="1" t="s">
        <v>19</v>
      </c>
      <c r="B15" s="20" t="s">
        <v>20</v>
      </c>
      <c r="C15" s="17">
        <v>0</v>
      </c>
    </row>
    <row r="16" spans="1:3" x14ac:dyDescent="0.25">
      <c r="A16" s="1" t="s">
        <v>21</v>
      </c>
      <c r="B16" s="20" t="s">
        <v>22</v>
      </c>
      <c r="C16" s="17">
        <v>2</v>
      </c>
    </row>
    <row r="17" spans="1:3" x14ac:dyDescent="0.25">
      <c r="A17" s="1" t="s">
        <v>23</v>
      </c>
      <c r="B17" s="20" t="s">
        <v>24</v>
      </c>
      <c r="C17" s="17">
        <v>1</v>
      </c>
    </row>
    <row r="18" spans="1:3" x14ac:dyDescent="0.25">
      <c r="A18" s="1" t="s">
        <v>25</v>
      </c>
      <c r="B18" s="20" t="s">
        <v>26</v>
      </c>
      <c r="C18" s="17">
        <v>0</v>
      </c>
    </row>
    <row r="19" spans="1:3" x14ac:dyDescent="0.25">
      <c r="A19" s="1" t="s">
        <v>27</v>
      </c>
      <c r="B19" s="20" t="s">
        <v>28</v>
      </c>
      <c r="C19" s="17">
        <v>0</v>
      </c>
    </row>
    <row r="20" spans="1:3" x14ac:dyDescent="0.25">
      <c r="A20" s="1" t="s">
        <v>29</v>
      </c>
      <c r="B20" s="20" t="s">
        <v>30</v>
      </c>
      <c r="C20" s="17">
        <v>1</v>
      </c>
    </row>
    <row r="21" spans="1:3" x14ac:dyDescent="0.25">
      <c r="A21" s="1" t="s">
        <v>31</v>
      </c>
      <c r="B21" s="20" t="s">
        <v>32</v>
      </c>
      <c r="C21" s="17">
        <v>0</v>
      </c>
    </row>
    <row r="22" spans="1:3" x14ac:dyDescent="0.25">
      <c r="A22" s="1" t="s">
        <v>33</v>
      </c>
      <c r="B22" s="20" t="s">
        <v>33</v>
      </c>
      <c r="C22" s="17">
        <v>0</v>
      </c>
    </row>
    <row r="23" spans="1:3" ht="16.3" thickBot="1" x14ac:dyDescent="0.3">
      <c r="A23" s="1" t="s">
        <v>34</v>
      </c>
      <c r="B23" s="24" t="s">
        <v>34</v>
      </c>
      <c r="C23" s="17">
        <v>0</v>
      </c>
    </row>
    <row r="24" spans="1:3" ht="16.2" customHeight="1" thickBot="1" x14ac:dyDescent="0.3">
      <c r="B24" s="25" t="s">
        <v>40</v>
      </c>
      <c r="C24" s="31">
        <f t="shared" ref="C24" si="0">SUM(C3:C23)</f>
        <v>6</v>
      </c>
    </row>
    <row r="25" spans="1:3" x14ac:dyDescent="0.25">
      <c r="A25" s="1" t="s">
        <v>35</v>
      </c>
      <c r="B25" s="19" t="s">
        <v>35</v>
      </c>
      <c r="C25" s="17">
        <v>0</v>
      </c>
    </row>
    <row r="26" spans="1:3" ht="16.2" customHeight="1" x14ac:dyDescent="0.25">
      <c r="A26" s="1" t="s">
        <v>37</v>
      </c>
      <c r="B26" s="20" t="s">
        <v>37</v>
      </c>
      <c r="C26" s="17">
        <v>4</v>
      </c>
    </row>
    <row r="27" spans="1:3" x14ac:dyDescent="0.25">
      <c r="A27" s="1" t="s">
        <v>38</v>
      </c>
      <c r="B27" s="20" t="s">
        <v>38</v>
      </c>
      <c r="C27" s="17">
        <v>1</v>
      </c>
    </row>
    <row r="28" spans="1:3" x14ac:dyDescent="0.25">
      <c r="A28" s="1" t="s">
        <v>36</v>
      </c>
      <c r="B28" s="20" t="s">
        <v>36</v>
      </c>
      <c r="C28" s="17">
        <v>0</v>
      </c>
    </row>
    <row r="29" spans="1:3" ht="16.3" thickBot="1" x14ac:dyDescent="0.3">
      <c r="A29" s="1" t="s">
        <v>60</v>
      </c>
      <c r="B29" s="45" t="s">
        <v>59</v>
      </c>
      <c r="C29" s="17">
        <v>3</v>
      </c>
    </row>
    <row r="30" spans="1:3" ht="15.9" customHeight="1" thickBot="1" x14ac:dyDescent="0.3">
      <c r="B30" s="21" t="s">
        <v>41</v>
      </c>
      <c r="C30" s="31">
        <f t="shared" ref="C30" si="1">SUM(C25:C29)</f>
        <v>8</v>
      </c>
    </row>
    <row r="31" spans="1:3" ht="16.3" thickBot="1" x14ac:dyDescent="0.3">
      <c r="B31" s="22" t="s">
        <v>39</v>
      </c>
      <c r="C31" s="18">
        <f t="shared" ref="C31" si="2">+C24+C30</f>
        <v>14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7D23-D0D4-4F8C-A276-7A10AF470379}">
  <dimension ref="A1:AK41"/>
  <sheetViews>
    <sheetView zoomScale="91" workbookViewId="0">
      <selection sqref="A1:AJ41"/>
    </sheetView>
  </sheetViews>
  <sheetFormatPr baseColWidth="10" defaultColWidth="10.7109375" defaultRowHeight="10.3" x14ac:dyDescent="0.45"/>
  <cols>
    <col min="1" max="1" width="15.85546875" style="63" bestFit="1" customWidth="1"/>
    <col min="2" max="2" width="6.92578125" style="63" hidden="1" customWidth="1"/>
    <col min="3" max="4" width="8.2109375" style="63" hidden="1" customWidth="1"/>
    <col min="5" max="8" width="8.35546875" style="63" hidden="1" customWidth="1"/>
    <col min="9" max="9" width="10.42578125" style="63" hidden="1" customWidth="1"/>
    <col min="10" max="12" width="7.5" style="63" hidden="1" customWidth="1"/>
    <col min="13" max="13" width="10.640625" style="63" hidden="1" customWidth="1"/>
    <col min="14" max="15" width="7.92578125" style="63" hidden="1" customWidth="1"/>
    <col min="16" max="17" width="8.0703125" style="63" hidden="1" customWidth="1"/>
    <col min="18" max="18" width="10.92578125" style="63" hidden="1" customWidth="1"/>
    <col min="19" max="21" width="7.78515625" style="63" hidden="1" customWidth="1"/>
    <col min="22" max="22" width="10.35546875" style="63" hidden="1" customWidth="1"/>
    <col min="23" max="25" width="7.28515625" style="63" hidden="1" customWidth="1"/>
    <col min="26" max="26" width="10.28515625" style="63" hidden="1" customWidth="1"/>
    <col min="27" max="27" width="7.92578125" style="63" hidden="1" customWidth="1"/>
    <col min="28" max="30" width="8.28515625" style="63" hidden="1" customWidth="1"/>
    <col min="31" max="31" width="6.35546875" style="63" customWidth="1"/>
    <col min="32" max="32" width="8.28515625" style="63" bestFit="1" customWidth="1"/>
    <col min="33" max="34" width="8.28515625" style="63" customWidth="1"/>
    <col min="35" max="35" width="6.640625" style="63" customWidth="1"/>
    <col min="36" max="36" width="7.85546875" style="63" bestFit="1" customWidth="1"/>
    <col min="37" max="16384" width="10.7109375" style="63"/>
  </cols>
  <sheetData>
    <row r="1" spans="1:36" ht="10.75" thickBot="1" x14ac:dyDescent="0.5">
      <c r="A1" s="136" t="s">
        <v>88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</row>
    <row r="2" spans="1:36" ht="21" thickBot="1" x14ac:dyDescent="0.5">
      <c r="A2" s="37" t="s">
        <v>0</v>
      </c>
      <c r="B2" s="34" t="s">
        <v>49</v>
      </c>
      <c r="C2" s="34" t="s">
        <v>44</v>
      </c>
      <c r="D2" s="34" t="s">
        <v>45</v>
      </c>
      <c r="E2" s="35" t="s">
        <v>46</v>
      </c>
      <c r="F2" s="35" t="s">
        <v>47</v>
      </c>
      <c r="G2" s="36" t="s">
        <v>48</v>
      </c>
      <c r="H2" s="36" t="s">
        <v>50</v>
      </c>
      <c r="I2" s="42" t="s">
        <v>51</v>
      </c>
      <c r="J2" s="36" t="s">
        <v>52</v>
      </c>
      <c r="K2" s="36" t="s">
        <v>53</v>
      </c>
      <c r="L2" s="36" t="s">
        <v>54</v>
      </c>
      <c r="M2" s="36" t="s">
        <v>55</v>
      </c>
      <c r="N2" s="36" t="s">
        <v>56</v>
      </c>
      <c r="O2" s="36" t="s">
        <v>57</v>
      </c>
      <c r="P2" s="36" t="s">
        <v>58</v>
      </c>
      <c r="Q2" s="36" t="s">
        <v>61</v>
      </c>
      <c r="R2" s="36" t="s">
        <v>62</v>
      </c>
      <c r="S2" s="36" t="s">
        <v>63</v>
      </c>
      <c r="T2" s="36" t="s">
        <v>64</v>
      </c>
      <c r="U2" s="36" t="s">
        <v>65</v>
      </c>
      <c r="V2" s="36" t="s">
        <v>66</v>
      </c>
      <c r="W2" s="36" t="s">
        <v>67</v>
      </c>
      <c r="X2" s="36" t="s">
        <v>68</v>
      </c>
      <c r="Y2" s="36" t="s">
        <v>69</v>
      </c>
      <c r="Z2" s="36" t="s">
        <v>71</v>
      </c>
      <c r="AA2" s="36" t="s">
        <v>70</v>
      </c>
      <c r="AB2" s="36" t="s">
        <v>72</v>
      </c>
      <c r="AC2" s="36" t="s">
        <v>73</v>
      </c>
      <c r="AD2" s="36" t="s">
        <v>74</v>
      </c>
      <c r="AE2" s="148" t="s">
        <v>75</v>
      </c>
      <c r="AF2" s="36" t="s">
        <v>76</v>
      </c>
      <c r="AG2" s="36" t="s">
        <v>77</v>
      </c>
      <c r="AH2" s="36" t="s">
        <v>87</v>
      </c>
      <c r="AI2" s="140" t="s">
        <v>89</v>
      </c>
      <c r="AJ2" s="64" t="s">
        <v>78</v>
      </c>
    </row>
    <row r="3" spans="1:36" x14ac:dyDescent="0.45">
      <c r="A3" s="65" t="s">
        <v>1</v>
      </c>
      <c r="B3" s="66">
        <v>23</v>
      </c>
      <c r="C3" s="66">
        <v>23</v>
      </c>
      <c r="D3" s="66">
        <v>27</v>
      </c>
      <c r="E3" s="66">
        <v>26</v>
      </c>
      <c r="F3" s="66">
        <v>16</v>
      </c>
      <c r="G3" s="66">
        <v>23</v>
      </c>
      <c r="H3" s="66">
        <v>22</v>
      </c>
      <c r="I3" s="66">
        <v>15</v>
      </c>
      <c r="J3" s="66">
        <v>7</v>
      </c>
      <c r="K3" s="66">
        <v>7</v>
      </c>
      <c r="L3" s="66">
        <v>10</v>
      </c>
      <c r="M3" s="66">
        <v>9</v>
      </c>
      <c r="N3" s="66">
        <v>20</v>
      </c>
      <c r="O3" s="66">
        <v>8</v>
      </c>
      <c r="P3" s="66">
        <v>14</v>
      </c>
      <c r="Q3" s="66">
        <v>15</v>
      </c>
      <c r="R3" s="66">
        <v>21</v>
      </c>
      <c r="S3" s="66">
        <v>7</v>
      </c>
      <c r="T3" s="66">
        <v>21</v>
      </c>
      <c r="U3" s="66">
        <v>22</v>
      </c>
      <c r="V3" s="66">
        <v>20</v>
      </c>
      <c r="W3" s="66">
        <v>18</v>
      </c>
      <c r="X3" s="66">
        <v>17</v>
      </c>
      <c r="Y3" s="66">
        <v>16</v>
      </c>
      <c r="Z3" s="66">
        <v>35</v>
      </c>
      <c r="AA3" s="66">
        <v>14</v>
      </c>
      <c r="AB3" s="66">
        <v>33</v>
      </c>
      <c r="AC3" s="66">
        <v>13</v>
      </c>
      <c r="AD3" s="66">
        <v>10</v>
      </c>
      <c r="AE3" s="66">
        <v>35</v>
      </c>
      <c r="AF3" s="66">
        <v>10</v>
      </c>
      <c r="AG3" s="66">
        <v>8</v>
      </c>
      <c r="AH3" s="66">
        <v>12</v>
      </c>
      <c r="AI3" s="66">
        <v>10</v>
      </c>
      <c r="AJ3" s="67">
        <f>AVERAGE(AE3:AI3)</f>
        <v>15</v>
      </c>
    </row>
    <row r="4" spans="1:36" x14ac:dyDescent="0.45">
      <c r="A4" s="68" t="s">
        <v>3</v>
      </c>
      <c r="B4" s="69">
        <v>27</v>
      </c>
      <c r="C4" s="69">
        <v>12</v>
      </c>
      <c r="D4" s="69">
        <v>18</v>
      </c>
      <c r="E4" s="69">
        <v>17</v>
      </c>
      <c r="F4" s="69">
        <v>18</v>
      </c>
      <c r="G4" s="69">
        <v>18</v>
      </c>
      <c r="H4" s="69">
        <v>13</v>
      </c>
      <c r="I4" s="69">
        <v>17</v>
      </c>
      <c r="J4" s="69">
        <v>14</v>
      </c>
      <c r="K4" s="69">
        <v>5</v>
      </c>
      <c r="L4" s="69">
        <v>13</v>
      </c>
      <c r="M4" s="69">
        <v>13</v>
      </c>
      <c r="N4" s="69">
        <v>4</v>
      </c>
      <c r="O4" s="69">
        <v>5</v>
      </c>
      <c r="P4" s="69">
        <v>12</v>
      </c>
      <c r="Q4" s="69">
        <v>11</v>
      </c>
      <c r="R4" s="69">
        <v>16</v>
      </c>
      <c r="S4" s="69">
        <v>12</v>
      </c>
      <c r="T4" s="69">
        <v>14</v>
      </c>
      <c r="U4" s="69">
        <v>9</v>
      </c>
      <c r="V4" s="69">
        <v>12</v>
      </c>
      <c r="W4" s="69">
        <v>7</v>
      </c>
      <c r="X4" s="69">
        <v>9</v>
      </c>
      <c r="Y4" s="69">
        <v>16</v>
      </c>
      <c r="Z4" s="69">
        <v>17</v>
      </c>
      <c r="AA4" s="69">
        <v>18</v>
      </c>
      <c r="AB4" s="69">
        <v>8</v>
      </c>
      <c r="AC4" s="69">
        <v>10</v>
      </c>
      <c r="AD4" s="69">
        <v>6</v>
      </c>
      <c r="AE4" s="69">
        <v>12</v>
      </c>
      <c r="AF4" s="69">
        <v>16</v>
      </c>
      <c r="AG4" s="69">
        <v>15</v>
      </c>
      <c r="AH4" s="69">
        <v>19</v>
      </c>
      <c r="AI4" s="69">
        <v>4</v>
      </c>
      <c r="AJ4" s="70">
        <f t="shared" ref="AJ4:AJ23" si="0">AVERAGE(AE4:AI4)</f>
        <v>13.2</v>
      </c>
    </row>
    <row r="5" spans="1:36" x14ac:dyDescent="0.45">
      <c r="A5" s="68" t="s">
        <v>4</v>
      </c>
      <c r="B5" s="69">
        <v>29</v>
      </c>
      <c r="C5" s="69">
        <v>28</v>
      </c>
      <c r="D5" s="69">
        <v>14</v>
      </c>
      <c r="E5" s="69">
        <v>6</v>
      </c>
      <c r="F5" s="69">
        <v>12</v>
      </c>
      <c r="G5" s="69">
        <v>12</v>
      </c>
      <c r="H5" s="69">
        <v>9</v>
      </c>
      <c r="I5" s="69">
        <v>9</v>
      </c>
      <c r="J5" s="69">
        <v>9</v>
      </c>
      <c r="K5" s="69">
        <v>9</v>
      </c>
      <c r="L5" s="69">
        <v>10</v>
      </c>
      <c r="M5" s="69">
        <v>3</v>
      </c>
      <c r="N5" s="69">
        <v>5</v>
      </c>
      <c r="O5" s="69">
        <v>6</v>
      </c>
      <c r="P5" s="69">
        <v>10</v>
      </c>
      <c r="Q5" s="69">
        <v>17</v>
      </c>
      <c r="R5" s="69">
        <v>5</v>
      </c>
      <c r="S5" s="69">
        <v>5</v>
      </c>
      <c r="T5" s="69">
        <v>10</v>
      </c>
      <c r="U5" s="69">
        <v>12</v>
      </c>
      <c r="V5" s="69">
        <v>11</v>
      </c>
      <c r="W5" s="69">
        <v>6</v>
      </c>
      <c r="X5" s="69">
        <v>18</v>
      </c>
      <c r="Y5" s="69">
        <v>12</v>
      </c>
      <c r="Z5" s="69">
        <v>18</v>
      </c>
      <c r="AA5" s="69">
        <v>9</v>
      </c>
      <c r="AB5" s="69">
        <v>6</v>
      </c>
      <c r="AC5" s="69">
        <v>10</v>
      </c>
      <c r="AD5" s="69">
        <v>11</v>
      </c>
      <c r="AE5" s="69">
        <v>14</v>
      </c>
      <c r="AF5" s="69">
        <v>8</v>
      </c>
      <c r="AG5" s="69">
        <v>5</v>
      </c>
      <c r="AH5" s="69">
        <v>8</v>
      </c>
      <c r="AI5" s="69">
        <v>9</v>
      </c>
      <c r="AJ5" s="70">
        <f t="shared" si="0"/>
        <v>8.8000000000000007</v>
      </c>
    </row>
    <row r="6" spans="1:36" x14ac:dyDescent="0.45">
      <c r="A6" s="68" t="s">
        <v>6</v>
      </c>
      <c r="B6" s="69">
        <v>31</v>
      </c>
      <c r="C6" s="69">
        <v>20</v>
      </c>
      <c r="D6" s="69">
        <v>31</v>
      </c>
      <c r="E6" s="69">
        <v>14</v>
      </c>
      <c r="F6" s="69">
        <v>26</v>
      </c>
      <c r="G6" s="69">
        <v>19</v>
      </c>
      <c r="H6" s="69">
        <v>18</v>
      </c>
      <c r="I6" s="69">
        <v>23</v>
      </c>
      <c r="J6" s="69">
        <v>11</v>
      </c>
      <c r="K6" s="69">
        <v>13</v>
      </c>
      <c r="L6" s="69">
        <v>11</v>
      </c>
      <c r="M6" s="69">
        <v>13</v>
      </c>
      <c r="N6" s="69">
        <v>14</v>
      </c>
      <c r="O6" s="69">
        <v>12</v>
      </c>
      <c r="P6" s="69">
        <v>22</v>
      </c>
      <c r="Q6" s="69">
        <v>11</v>
      </c>
      <c r="R6" s="69">
        <v>25</v>
      </c>
      <c r="S6" s="69">
        <v>20</v>
      </c>
      <c r="T6" s="69">
        <v>21</v>
      </c>
      <c r="U6" s="69">
        <v>24</v>
      </c>
      <c r="V6" s="69">
        <v>22</v>
      </c>
      <c r="W6" s="69">
        <v>20</v>
      </c>
      <c r="X6" s="69">
        <v>22</v>
      </c>
      <c r="Y6" s="69">
        <v>18</v>
      </c>
      <c r="Z6" s="69">
        <v>30</v>
      </c>
      <c r="AA6" s="69">
        <v>14</v>
      </c>
      <c r="AB6" s="69">
        <v>18</v>
      </c>
      <c r="AC6" s="69">
        <v>17</v>
      </c>
      <c r="AD6" s="69">
        <v>22</v>
      </c>
      <c r="AE6" s="69">
        <v>20</v>
      </c>
      <c r="AF6" s="69">
        <v>14</v>
      </c>
      <c r="AG6" s="69">
        <v>11</v>
      </c>
      <c r="AH6" s="69">
        <v>19</v>
      </c>
      <c r="AI6" s="69">
        <v>8</v>
      </c>
      <c r="AJ6" s="70">
        <f t="shared" si="0"/>
        <v>14.4</v>
      </c>
    </row>
    <row r="7" spans="1:36" x14ac:dyDescent="0.45">
      <c r="A7" s="71" t="s">
        <v>8</v>
      </c>
      <c r="B7" s="72">
        <v>52</v>
      </c>
      <c r="C7" s="72">
        <v>44</v>
      </c>
      <c r="D7" s="72">
        <v>40</v>
      </c>
      <c r="E7" s="72">
        <v>48</v>
      </c>
      <c r="F7" s="72">
        <v>25</v>
      </c>
      <c r="G7" s="72">
        <v>29</v>
      </c>
      <c r="H7" s="72">
        <v>25</v>
      </c>
      <c r="I7" s="72">
        <v>38</v>
      </c>
      <c r="J7" s="72">
        <v>33</v>
      </c>
      <c r="K7" s="72">
        <v>30</v>
      </c>
      <c r="L7" s="72">
        <v>32</v>
      </c>
      <c r="M7" s="72">
        <v>28</v>
      </c>
      <c r="N7" s="72">
        <v>30</v>
      </c>
      <c r="O7" s="72">
        <v>29</v>
      </c>
      <c r="P7" s="72">
        <v>30</v>
      </c>
      <c r="Q7" s="72">
        <v>25</v>
      </c>
      <c r="R7" s="72">
        <v>23</v>
      </c>
      <c r="S7" s="72">
        <v>37</v>
      </c>
      <c r="T7" s="72">
        <v>29</v>
      </c>
      <c r="U7" s="72">
        <v>22</v>
      </c>
      <c r="V7" s="72">
        <v>44</v>
      </c>
      <c r="W7" s="72">
        <v>27</v>
      </c>
      <c r="X7" s="72">
        <v>32</v>
      </c>
      <c r="Y7" s="72">
        <v>36</v>
      </c>
      <c r="Z7" s="72">
        <v>51</v>
      </c>
      <c r="AA7" s="72">
        <v>28</v>
      </c>
      <c r="AB7" s="72">
        <v>35</v>
      </c>
      <c r="AC7" s="72">
        <v>25</v>
      </c>
      <c r="AD7" s="72">
        <v>21</v>
      </c>
      <c r="AE7" s="72">
        <v>36</v>
      </c>
      <c r="AF7" s="72">
        <v>17</v>
      </c>
      <c r="AG7" s="72">
        <v>13</v>
      </c>
      <c r="AH7" s="72">
        <v>9</v>
      </c>
      <c r="AI7" s="72">
        <v>19</v>
      </c>
      <c r="AJ7" s="73">
        <f t="shared" si="0"/>
        <v>18.8</v>
      </c>
    </row>
    <row r="8" spans="1:36" x14ac:dyDescent="0.45">
      <c r="A8" s="68" t="s">
        <v>9</v>
      </c>
      <c r="B8" s="69">
        <v>38</v>
      </c>
      <c r="C8" s="69">
        <v>16</v>
      </c>
      <c r="D8" s="69">
        <v>19</v>
      </c>
      <c r="E8" s="69">
        <v>18</v>
      </c>
      <c r="F8" s="69">
        <v>19</v>
      </c>
      <c r="G8" s="69">
        <v>11</v>
      </c>
      <c r="H8" s="69">
        <v>12</v>
      </c>
      <c r="I8" s="69">
        <v>17</v>
      </c>
      <c r="J8" s="69">
        <v>12</v>
      </c>
      <c r="K8" s="69">
        <v>12</v>
      </c>
      <c r="L8" s="69">
        <v>9</v>
      </c>
      <c r="M8" s="69">
        <v>4</v>
      </c>
      <c r="N8" s="69">
        <v>8</v>
      </c>
      <c r="O8" s="69">
        <v>13</v>
      </c>
      <c r="P8" s="69">
        <v>14</v>
      </c>
      <c r="Q8" s="69">
        <v>11</v>
      </c>
      <c r="R8" s="69">
        <v>8</v>
      </c>
      <c r="S8" s="69">
        <v>21</v>
      </c>
      <c r="T8" s="69">
        <v>21</v>
      </c>
      <c r="U8" s="69">
        <v>13</v>
      </c>
      <c r="V8" s="69">
        <v>14</v>
      </c>
      <c r="W8" s="69">
        <v>15</v>
      </c>
      <c r="X8" s="69">
        <v>16</v>
      </c>
      <c r="Y8" s="69">
        <v>11</v>
      </c>
      <c r="Z8" s="69">
        <v>16</v>
      </c>
      <c r="AA8" s="69">
        <v>18</v>
      </c>
      <c r="AB8" s="69">
        <v>11</v>
      </c>
      <c r="AC8" s="69">
        <v>6</v>
      </c>
      <c r="AD8" s="69">
        <v>11</v>
      </c>
      <c r="AE8" s="69">
        <v>19</v>
      </c>
      <c r="AF8" s="69">
        <v>6</v>
      </c>
      <c r="AG8" s="69">
        <v>14</v>
      </c>
      <c r="AH8" s="69">
        <v>25</v>
      </c>
      <c r="AI8" s="69">
        <v>8</v>
      </c>
      <c r="AJ8" s="70">
        <f t="shared" si="0"/>
        <v>14.4</v>
      </c>
    </row>
    <row r="9" spans="1:36" x14ac:dyDescent="0.45">
      <c r="A9" s="74" t="s">
        <v>11</v>
      </c>
      <c r="B9" s="75">
        <v>26</v>
      </c>
      <c r="C9" s="75">
        <v>15</v>
      </c>
      <c r="D9" s="75">
        <v>10</v>
      </c>
      <c r="E9" s="75">
        <v>15</v>
      </c>
      <c r="F9" s="75">
        <v>6</v>
      </c>
      <c r="G9" s="75">
        <v>9</v>
      </c>
      <c r="H9" s="75">
        <v>9</v>
      </c>
      <c r="I9" s="75">
        <v>6</v>
      </c>
      <c r="J9" s="75">
        <v>7</v>
      </c>
      <c r="K9" s="75">
        <v>12</v>
      </c>
      <c r="L9" s="75">
        <v>6</v>
      </c>
      <c r="M9" s="75">
        <v>13</v>
      </c>
      <c r="N9" s="75">
        <v>12</v>
      </c>
      <c r="O9" s="75">
        <v>13</v>
      </c>
      <c r="P9" s="75">
        <v>10</v>
      </c>
      <c r="Q9" s="75">
        <v>10</v>
      </c>
      <c r="R9" s="75">
        <v>13</v>
      </c>
      <c r="S9" s="75">
        <v>8</v>
      </c>
      <c r="T9" s="75">
        <v>10</v>
      </c>
      <c r="U9" s="75">
        <v>6</v>
      </c>
      <c r="V9" s="75">
        <v>10</v>
      </c>
      <c r="W9" s="75">
        <v>7</v>
      </c>
      <c r="X9" s="75">
        <v>10</v>
      </c>
      <c r="Y9" s="75">
        <v>5</v>
      </c>
      <c r="Z9" s="75">
        <v>9</v>
      </c>
      <c r="AA9" s="75">
        <v>7</v>
      </c>
      <c r="AB9" s="75">
        <v>10</v>
      </c>
      <c r="AC9" s="75">
        <v>4</v>
      </c>
      <c r="AD9" s="75">
        <v>2</v>
      </c>
      <c r="AE9" s="75">
        <v>7</v>
      </c>
      <c r="AF9" s="75">
        <v>9</v>
      </c>
      <c r="AG9" s="75">
        <v>10</v>
      </c>
      <c r="AH9" s="75">
        <v>11</v>
      </c>
      <c r="AI9" s="75">
        <v>6</v>
      </c>
      <c r="AJ9" s="76">
        <f t="shared" si="0"/>
        <v>8.6</v>
      </c>
    </row>
    <row r="10" spans="1:36" x14ac:dyDescent="0.45">
      <c r="A10" s="74" t="s">
        <v>13</v>
      </c>
      <c r="B10" s="75">
        <v>21</v>
      </c>
      <c r="C10" s="75">
        <v>24</v>
      </c>
      <c r="D10" s="75">
        <v>24</v>
      </c>
      <c r="E10" s="75">
        <v>24</v>
      </c>
      <c r="F10" s="75">
        <v>17</v>
      </c>
      <c r="G10" s="75">
        <v>9</v>
      </c>
      <c r="H10" s="75">
        <v>23</v>
      </c>
      <c r="I10" s="75">
        <v>12</v>
      </c>
      <c r="J10" s="75">
        <v>14</v>
      </c>
      <c r="K10" s="75">
        <v>15</v>
      </c>
      <c r="L10" s="75">
        <v>12</v>
      </c>
      <c r="M10" s="75">
        <v>14</v>
      </c>
      <c r="N10" s="75">
        <v>7</v>
      </c>
      <c r="O10" s="75">
        <v>22</v>
      </c>
      <c r="P10" s="75">
        <v>19</v>
      </c>
      <c r="Q10" s="75">
        <v>13</v>
      </c>
      <c r="R10" s="75">
        <v>26</v>
      </c>
      <c r="S10" s="75">
        <v>12</v>
      </c>
      <c r="T10" s="75">
        <v>13</v>
      </c>
      <c r="U10" s="75">
        <v>19</v>
      </c>
      <c r="V10" s="75">
        <v>30</v>
      </c>
      <c r="W10" s="75">
        <v>17</v>
      </c>
      <c r="X10" s="75">
        <v>24</v>
      </c>
      <c r="Y10" s="75">
        <v>17</v>
      </c>
      <c r="Z10" s="75">
        <v>52</v>
      </c>
      <c r="AA10" s="75">
        <v>25</v>
      </c>
      <c r="AB10" s="75">
        <v>28</v>
      </c>
      <c r="AC10" s="75">
        <v>26</v>
      </c>
      <c r="AD10" s="75">
        <v>20</v>
      </c>
      <c r="AE10" s="75">
        <v>35</v>
      </c>
      <c r="AF10" s="75">
        <v>20</v>
      </c>
      <c r="AG10" s="75">
        <v>19</v>
      </c>
      <c r="AH10" s="75">
        <v>32</v>
      </c>
      <c r="AI10" s="75">
        <v>23</v>
      </c>
      <c r="AJ10" s="76">
        <f t="shared" si="0"/>
        <v>25.8</v>
      </c>
    </row>
    <row r="11" spans="1:36" x14ac:dyDescent="0.45">
      <c r="A11" s="74" t="s">
        <v>14</v>
      </c>
      <c r="B11" s="75">
        <v>56</v>
      </c>
      <c r="C11" s="75">
        <v>44</v>
      </c>
      <c r="D11" s="75">
        <v>43</v>
      </c>
      <c r="E11" s="75">
        <v>52</v>
      </c>
      <c r="F11" s="75">
        <v>31</v>
      </c>
      <c r="G11" s="75">
        <v>31</v>
      </c>
      <c r="H11" s="75">
        <v>31</v>
      </c>
      <c r="I11" s="75">
        <v>33</v>
      </c>
      <c r="J11" s="75">
        <v>30</v>
      </c>
      <c r="K11" s="75">
        <v>40</v>
      </c>
      <c r="L11" s="75">
        <v>37</v>
      </c>
      <c r="M11" s="75">
        <v>21</v>
      </c>
      <c r="N11" s="75">
        <v>31</v>
      </c>
      <c r="O11" s="75">
        <v>38</v>
      </c>
      <c r="P11" s="75">
        <v>40</v>
      </c>
      <c r="Q11" s="75">
        <v>36</v>
      </c>
      <c r="R11" s="75">
        <v>30</v>
      </c>
      <c r="S11" s="75">
        <v>38</v>
      </c>
      <c r="T11" s="75">
        <v>27</v>
      </c>
      <c r="U11" s="75">
        <v>31</v>
      </c>
      <c r="V11" s="75">
        <v>33</v>
      </c>
      <c r="W11" s="75">
        <v>36</v>
      </c>
      <c r="X11" s="75">
        <v>25</v>
      </c>
      <c r="Y11" s="75">
        <v>34</v>
      </c>
      <c r="Z11" s="75">
        <v>32</v>
      </c>
      <c r="AA11" s="75">
        <v>41</v>
      </c>
      <c r="AB11" s="75">
        <v>41</v>
      </c>
      <c r="AC11" s="75">
        <v>43</v>
      </c>
      <c r="AD11" s="75">
        <v>27</v>
      </c>
      <c r="AE11" s="75">
        <v>40</v>
      </c>
      <c r="AF11" s="75">
        <v>21</v>
      </c>
      <c r="AG11" s="75">
        <v>30</v>
      </c>
      <c r="AH11" s="75">
        <v>51</v>
      </c>
      <c r="AI11" s="75">
        <v>27</v>
      </c>
      <c r="AJ11" s="76">
        <f t="shared" si="0"/>
        <v>33.799999999999997</v>
      </c>
    </row>
    <row r="12" spans="1:36" x14ac:dyDescent="0.45">
      <c r="A12" s="77" t="s">
        <v>15</v>
      </c>
      <c r="B12" s="78">
        <v>13</v>
      </c>
      <c r="C12" s="78">
        <v>13</v>
      </c>
      <c r="D12" s="78">
        <v>20</v>
      </c>
      <c r="E12" s="78">
        <v>5</v>
      </c>
      <c r="F12" s="78">
        <v>6</v>
      </c>
      <c r="G12" s="78">
        <v>1</v>
      </c>
      <c r="H12" s="78">
        <v>7</v>
      </c>
      <c r="I12" s="78">
        <v>14</v>
      </c>
      <c r="J12" s="78">
        <v>2</v>
      </c>
      <c r="K12" s="78">
        <v>4</v>
      </c>
      <c r="L12" s="78">
        <v>3</v>
      </c>
      <c r="M12" s="78">
        <v>5</v>
      </c>
      <c r="N12" s="78">
        <v>4</v>
      </c>
      <c r="O12" s="78">
        <v>8</v>
      </c>
      <c r="P12" s="78">
        <v>11</v>
      </c>
      <c r="Q12" s="78">
        <v>9</v>
      </c>
      <c r="R12" s="78">
        <v>8</v>
      </c>
      <c r="S12" s="78">
        <v>10</v>
      </c>
      <c r="T12" s="78">
        <v>5</v>
      </c>
      <c r="U12" s="78">
        <v>10</v>
      </c>
      <c r="V12" s="78">
        <v>4</v>
      </c>
      <c r="W12" s="78">
        <v>3</v>
      </c>
      <c r="X12" s="78">
        <v>9</v>
      </c>
      <c r="Y12" s="78">
        <v>6</v>
      </c>
      <c r="Z12" s="78">
        <v>16</v>
      </c>
      <c r="AA12" s="78">
        <v>10</v>
      </c>
      <c r="AB12" s="78">
        <v>13</v>
      </c>
      <c r="AC12" s="78">
        <v>10</v>
      </c>
      <c r="AD12" s="78">
        <v>7</v>
      </c>
      <c r="AE12" s="78">
        <v>17</v>
      </c>
      <c r="AF12" s="78">
        <v>5</v>
      </c>
      <c r="AG12" s="78">
        <v>6</v>
      </c>
      <c r="AH12" s="78">
        <v>4</v>
      </c>
      <c r="AI12" s="78">
        <v>4</v>
      </c>
      <c r="AJ12" s="79">
        <f t="shared" si="0"/>
        <v>7.2</v>
      </c>
    </row>
    <row r="13" spans="1:36" x14ac:dyDescent="0.45">
      <c r="A13" s="74" t="s">
        <v>16</v>
      </c>
      <c r="B13" s="75">
        <v>47</v>
      </c>
      <c r="C13" s="75">
        <v>27</v>
      </c>
      <c r="D13" s="75">
        <v>30</v>
      </c>
      <c r="E13" s="75">
        <v>24</v>
      </c>
      <c r="F13" s="75">
        <v>18</v>
      </c>
      <c r="G13" s="75">
        <v>19</v>
      </c>
      <c r="H13" s="75">
        <v>19</v>
      </c>
      <c r="I13" s="75">
        <v>19</v>
      </c>
      <c r="J13" s="75">
        <v>19</v>
      </c>
      <c r="K13" s="75">
        <v>14</v>
      </c>
      <c r="L13" s="75">
        <v>19</v>
      </c>
      <c r="M13" s="75">
        <v>13</v>
      </c>
      <c r="N13" s="75">
        <v>13</v>
      </c>
      <c r="O13" s="75">
        <v>14</v>
      </c>
      <c r="P13" s="75">
        <v>16</v>
      </c>
      <c r="Q13" s="75">
        <v>13</v>
      </c>
      <c r="R13" s="75">
        <v>14</v>
      </c>
      <c r="S13" s="75">
        <v>21</v>
      </c>
      <c r="T13" s="75">
        <v>21</v>
      </c>
      <c r="U13" s="75">
        <v>21</v>
      </c>
      <c r="V13" s="75">
        <v>20</v>
      </c>
      <c r="W13" s="75">
        <v>22</v>
      </c>
      <c r="X13" s="75">
        <v>23</v>
      </c>
      <c r="Y13" s="75">
        <v>22</v>
      </c>
      <c r="Z13" s="75">
        <v>17</v>
      </c>
      <c r="AA13" s="75">
        <v>12</v>
      </c>
      <c r="AB13" s="75">
        <v>30</v>
      </c>
      <c r="AC13" s="75">
        <v>16</v>
      </c>
      <c r="AD13" s="75">
        <v>19</v>
      </c>
      <c r="AE13" s="75">
        <v>19</v>
      </c>
      <c r="AF13" s="75">
        <v>12</v>
      </c>
      <c r="AG13" s="75">
        <v>9</v>
      </c>
      <c r="AH13" s="75">
        <v>27</v>
      </c>
      <c r="AI13" s="75">
        <v>16</v>
      </c>
      <c r="AJ13" s="76">
        <f t="shared" si="0"/>
        <v>16.600000000000001</v>
      </c>
    </row>
    <row r="14" spans="1:36" x14ac:dyDescent="0.45">
      <c r="A14" s="74" t="s">
        <v>18</v>
      </c>
      <c r="B14" s="75">
        <v>29</v>
      </c>
      <c r="C14" s="75">
        <v>34</v>
      </c>
      <c r="D14" s="75">
        <v>34</v>
      </c>
      <c r="E14" s="75">
        <v>35</v>
      </c>
      <c r="F14" s="75">
        <v>46</v>
      </c>
      <c r="G14" s="75">
        <v>48</v>
      </c>
      <c r="H14" s="75">
        <v>22</v>
      </c>
      <c r="I14" s="75">
        <v>32</v>
      </c>
      <c r="J14" s="75">
        <v>21</v>
      </c>
      <c r="K14" s="75">
        <v>18</v>
      </c>
      <c r="L14" s="75">
        <v>15</v>
      </c>
      <c r="M14" s="75">
        <v>24</v>
      </c>
      <c r="N14" s="75">
        <v>20</v>
      </c>
      <c r="O14" s="75">
        <v>27</v>
      </c>
      <c r="P14" s="75">
        <v>17</v>
      </c>
      <c r="Q14" s="75">
        <v>36</v>
      </c>
      <c r="R14" s="75">
        <v>33</v>
      </c>
      <c r="S14" s="75">
        <v>23</v>
      </c>
      <c r="T14" s="75">
        <v>16</v>
      </c>
      <c r="U14" s="75">
        <v>25</v>
      </c>
      <c r="V14" s="75">
        <v>42</v>
      </c>
      <c r="W14" s="75">
        <v>31</v>
      </c>
      <c r="X14" s="75">
        <v>29</v>
      </c>
      <c r="Y14" s="75">
        <v>21</v>
      </c>
      <c r="Z14" s="75">
        <v>32</v>
      </c>
      <c r="AA14" s="75">
        <v>16</v>
      </c>
      <c r="AB14" s="75">
        <v>12</v>
      </c>
      <c r="AC14" s="75">
        <v>33</v>
      </c>
      <c r="AD14" s="75">
        <v>28</v>
      </c>
      <c r="AE14" s="75">
        <v>25</v>
      </c>
      <c r="AF14" s="75">
        <v>11</v>
      </c>
      <c r="AG14" s="75">
        <v>23</v>
      </c>
      <c r="AH14" s="75">
        <v>27</v>
      </c>
      <c r="AI14" s="75">
        <v>18</v>
      </c>
      <c r="AJ14" s="76">
        <f t="shared" si="0"/>
        <v>20.8</v>
      </c>
    </row>
    <row r="15" spans="1:36" x14ac:dyDescent="0.45">
      <c r="A15" s="74" t="s">
        <v>20</v>
      </c>
      <c r="B15" s="75">
        <v>30</v>
      </c>
      <c r="C15" s="75">
        <v>12</v>
      </c>
      <c r="D15" s="75">
        <v>22</v>
      </c>
      <c r="E15" s="75">
        <v>24</v>
      </c>
      <c r="F15" s="75">
        <v>21</v>
      </c>
      <c r="G15" s="75">
        <v>14</v>
      </c>
      <c r="H15" s="75">
        <v>9</v>
      </c>
      <c r="I15" s="75">
        <v>15</v>
      </c>
      <c r="J15" s="75">
        <v>25</v>
      </c>
      <c r="K15" s="75">
        <v>16</v>
      </c>
      <c r="L15" s="75">
        <v>15</v>
      </c>
      <c r="M15" s="75">
        <v>12</v>
      </c>
      <c r="N15" s="75">
        <v>21</v>
      </c>
      <c r="O15" s="75">
        <v>10</v>
      </c>
      <c r="P15" s="75">
        <v>13</v>
      </c>
      <c r="Q15" s="75">
        <v>20</v>
      </c>
      <c r="R15" s="75">
        <v>14</v>
      </c>
      <c r="S15" s="75">
        <v>10</v>
      </c>
      <c r="T15" s="75">
        <v>8</v>
      </c>
      <c r="U15" s="75">
        <v>17</v>
      </c>
      <c r="V15" s="75">
        <v>21</v>
      </c>
      <c r="W15" s="75">
        <v>16</v>
      </c>
      <c r="X15" s="75">
        <v>6</v>
      </c>
      <c r="Y15" s="75">
        <v>9</v>
      </c>
      <c r="Z15" s="75">
        <v>19</v>
      </c>
      <c r="AA15" s="75">
        <v>12</v>
      </c>
      <c r="AB15" s="75">
        <v>13</v>
      </c>
      <c r="AC15" s="75">
        <v>11</v>
      </c>
      <c r="AD15" s="75">
        <v>12</v>
      </c>
      <c r="AE15" s="75">
        <v>29</v>
      </c>
      <c r="AF15" s="75">
        <v>7</v>
      </c>
      <c r="AG15" s="75">
        <v>8</v>
      </c>
      <c r="AH15" s="75">
        <v>22</v>
      </c>
      <c r="AI15" s="75">
        <v>6</v>
      </c>
      <c r="AJ15" s="76">
        <f t="shared" si="0"/>
        <v>14.4</v>
      </c>
    </row>
    <row r="16" spans="1:36" x14ac:dyDescent="0.45">
      <c r="A16" s="80" t="s">
        <v>22</v>
      </c>
      <c r="B16" s="81">
        <v>33</v>
      </c>
      <c r="C16" s="81">
        <v>22</v>
      </c>
      <c r="D16" s="81">
        <v>18</v>
      </c>
      <c r="E16" s="81">
        <v>19</v>
      </c>
      <c r="F16" s="81">
        <v>10</v>
      </c>
      <c r="G16" s="81">
        <v>18</v>
      </c>
      <c r="H16" s="81">
        <v>16</v>
      </c>
      <c r="I16" s="81">
        <v>4</v>
      </c>
      <c r="J16" s="81">
        <v>6</v>
      </c>
      <c r="K16" s="81">
        <v>12</v>
      </c>
      <c r="L16" s="81">
        <v>16</v>
      </c>
      <c r="M16" s="81">
        <v>6</v>
      </c>
      <c r="N16" s="81">
        <v>7</v>
      </c>
      <c r="O16" s="81">
        <v>17</v>
      </c>
      <c r="P16" s="81">
        <v>10</v>
      </c>
      <c r="Q16" s="81">
        <v>16</v>
      </c>
      <c r="R16" s="81">
        <v>16</v>
      </c>
      <c r="S16" s="81">
        <v>22</v>
      </c>
      <c r="T16" s="81">
        <v>18</v>
      </c>
      <c r="U16" s="81">
        <v>22</v>
      </c>
      <c r="V16" s="81">
        <v>28</v>
      </c>
      <c r="W16" s="81">
        <v>23</v>
      </c>
      <c r="X16" s="81">
        <v>17</v>
      </c>
      <c r="Y16" s="81">
        <v>16</v>
      </c>
      <c r="Z16" s="81">
        <v>32</v>
      </c>
      <c r="AA16" s="81">
        <v>18</v>
      </c>
      <c r="AB16" s="81">
        <v>14</v>
      </c>
      <c r="AC16" s="81">
        <v>18</v>
      </c>
      <c r="AD16" s="81">
        <v>20</v>
      </c>
      <c r="AE16" s="81">
        <v>25</v>
      </c>
      <c r="AF16" s="81">
        <v>13</v>
      </c>
      <c r="AG16" s="81">
        <v>18</v>
      </c>
      <c r="AH16" s="81">
        <v>19</v>
      </c>
      <c r="AI16" s="81">
        <v>8</v>
      </c>
      <c r="AJ16" s="82">
        <f t="shared" si="0"/>
        <v>16.600000000000001</v>
      </c>
    </row>
    <row r="17" spans="1:37" x14ac:dyDescent="0.45">
      <c r="A17" s="83" t="s">
        <v>24</v>
      </c>
      <c r="B17" s="84">
        <v>35</v>
      </c>
      <c r="C17" s="84">
        <v>29</v>
      </c>
      <c r="D17" s="84">
        <v>35</v>
      </c>
      <c r="E17" s="84">
        <v>24</v>
      </c>
      <c r="F17" s="84">
        <v>16</v>
      </c>
      <c r="G17" s="84">
        <v>28</v>
      </c>
      <c r="H17" s="84">
        <v>17</v>
      </c>
      <c r="I17" s="84">
        <v>4</v>
      </c>
      <c r="J17" s="84">
        <v>10</v>
      </c>
      <c r="K17" s="84">
        <v>17</v>
      </c>
      <c r="L17" s="84">
        <v>9</v>
      </c>
      <c r="M17" s="84">
        <v>4</v>
      </c>
      <c r="N17" s="84">
        <v>13</v>
      </c>
      <c r="O17" s="84">
        <v>17</v>
      </c>
      <c r="P17" s="84">
        <v>11</v>
      </c>
      <c r="Q17" s="84">
        <v>15</v>
      </c>
      <c r="R17" s="84">
        <v>7</v>
      </c>
      <c r="S17" s="84">
        <v>4</v>
      </c>
      <c r="T17" s="84">
        <v>16</v>
      </c>
      <c r="U17" s="84">
        <v>10</v>
      </c>
      <c r="V17" s="84">
        <v>13</v>
      </c>
      <c r="W17" s="84">
        <v>12</v>
      </c>
      <c r="X17" s="84">
        <v>9</v>
      </c>
      <c r="Y17" s="84">
        <v>11</v>
      </c>
      <c r="Z17" s="84">
        <v>42</v>
      </c>
      <c r="AA17" s="84">
        <v>17</v>
      </c>
      <c r="AB17" s="84">
        <v>19</v>
      </c>
      <c r="AC17" s="84">
        <v>13</v>
      </c>
      <c r="AD17" s="84">
        <v>8</v>
      </c>
      <c r="AE17" s="84">
        <v>24</v>
      </c>
      <c r="AF17" s="84">
        <v>18</v>
      </c>
      <c r="AG17" s="84">
        <v>8</v>
      </c>
      <c r="AH17" s="84">
        <v>17</v>
      </c>
      <c r="AI17" s="84">
        <v>13</v>
      </c>
      <c r="AJ17" s="85">
        <f t="shared" si="0"/>
        <v>16</v>
      </c>
    </row>
    <row r="18" spans="1:37" x14ac:dyDescent="0.45">
      <c r="A18" s="80" t="s">
        <v>26</v>
      </c>
      <c r="B18" s="81">
        <v>17</v>
      </c>
      <c r="C18" s="81">
        <v>22</v>
      </c>
      <c r="D18" s="81">
        <v>18</v>
      </c>
      <c r="E18" s="81">
        <v>6</v>
      </c>
      <c r="F18" s="81">
        <v>13</v>
      </c>
      <c r="G18" s="81">
        <v>2</v>
      </c>
      <c r="H18" s="81">
        <v>7</v>
      </c>
      <c r="I18" s="81">
        <v>7</v>
      </c>
      <c r="J18" s="81">
        <v>11</v>
      </c>
      <c r="K18" s="81">
        <v>11</v>
      </c>
      <c r="L18" s="81">
        <v>6</v>
      </c>
      <c r="M18" s="81">
        <v>4</v>
      </c>
      <c r="N18" s="81">
        <v>5</v>
      </c>
      <c r="O18" s="81">
        <v>12</v>
      </c>
      <c r="P18" s="81">
        <v>7</v>
      </c>
      <c r="Q18" s="81">
        <v>9</v>
      </c>
      <c r="R18" s="81">
        <v>17</v>
      </c>
      <c r="S18" s="81">
        <v>18</v>
      </c>
      <c r="T18" s="81">
        <v>13</v>
      </c>
      <c r="U18" s="81">
        <v>11</v>
      </c>
      <c r="V18" s="81">
        <v>16</v>
      </c>
      <c r="W18" s="81">
        <v>12</v>
      </c>
      <c r="X18" s="81">
        <v>19</v>
      </c>
      <c r="Y18" s="81">
        <v>21</v>
      </c>
      <c r="Z18" s="81">
        <v>18</v>
      </c>
      <c r="AA18" s="81">
        <v>9</v>
      </c>
      <c r="AB18" s="81">
        <v>13</v>
      </c>
      <c r="AC18" s="81">
        <v>8</v>
      </c>
      <c r="AD18" s="81">
        <v>9</v>
      </c>
      <c r="AE18" s="81">
        <v>19</v>
      </c>
      <c r="AF18" s="81">
        <v>11</v>
      </c>
      <c r="AG18" s="81">
        <v>15</v>
      </c>
      <c r="AH18" s="81">
        <v>22</v>
      </c>
      <c r="AI18" s="81">
        <v>17</v>
      </c>
      <c r="AJ18" s="82">
        <f t="shared" si="0"/>
        <v>16.8</v>
      </c>
    </row>
    <row r="19" spans="1:37" x14ac:dyDescent="0.45">
      <c r="A19" s="86" t="s">
        <v>28</v>
      </c>
      <c r="B19" s="87">
        <v>37</v>
      </c>
      <c r="C19" s="87">
        <v>24</v>
      </c>
      <c r="D19" s="87">
        <v>23</v>
      </c>
      <c r="E19" s="87">
        <v>19</v>
      </c>
      <c r="F19" s="87">
        <v>8</v>
      </c>
      <c r="G19" s="87">
        <v>8</v>
      </c>
      <c r="H19" s="87">
        <v>11</v>
      </c>
      <c r="I19" s="87">
        <v>12</v>
      </c>
      <c r="J19" s="87">
        <v>9</v>
      </c>
      <c r="K19" s="87">
        <v>11</v>
      </c>
      <c r="L19" s="87">
        <v>11</v>
      </c>
      <c r="M19" s="87">
        <v>5</v>
      </c>
      <c r="N19" s="87">
        <v>5</v>
      </c>
      <c r="O19" s="87">
        <v>10</v>
      </c>
      <c r="P19" s="87">
        <v>11</v>
      </c>
      <c r="Q19" s="87">
        <v>13</v>
      </c>
      <c r="R19" s="87">
        <v>23</v>
      </c>
      <c r="S19" s="87">
        <v>10</v>
      </c>
      <c r="T19" s="87">
        <v>10</v>
      </c>
      <c r="U19" s="87">
        <v>13</v>
      </c>
      <c r="V19" s="87">
        <v>11</v>
      </c>
      <c r="W19" s="87">
        <v>12</v>
      </c>
      <c r="X19" s="87">
        <v>14</v>
      </c>
      <c r="Y19" s="87">
        <v>11</v>
      </c>
      <c r="Z19" s="87">
        <v>18</v>
      </c>
      <c r="AA19" s="87">
        <v>14</v>
      </c>
      <c r="AB19" s="87">
        <v>8</v>
      </c>
      <c r="AC19" s="87">
        <v>13</v>
      </c>
      <c r="AD19" s="87">
        <v>14</v>
      </c>
      <c r="AE19" s="87">
        <v>17</v>
      </c>
      <c r="AF19" s="87">
        <v>17</v>
      </c>
      <c r="AG19" s="87">
        <v>9</v>
      </c>
      <c r="AH19" s="87">
        <v>9</v>
      </c>
      <c r="AI19" s="87">
        <v>9</v>
      </c>
      <c r="AJ19" s="88">
        <f t="shared" si="0"/>
        <v>12.2</v>
      </c>
    </row>
    <row r="20" spans="1:37" x14ac:dyDescent="0.45">
      <c r="A20" s="86" t="s">
        <v>30</v>
      </c>
      <c r="B20" s="87">
        <v>43</v>
      </c>
      <c r="C20" s="87">
        <v>32</v>
      </c>
      <c r="D20" s="87">
        <v>26</v>
      </c>
      <c r="E20" s="87">
        <v>43</v>
      </c>
      <c r="F20" s="87">
        <v>27</v>
      </c>
      <c r="G20" s="87">
        <v>24</v>
      </c>
      <c r="H20" s="87">
        <v>33</v>
      </c>
      <c r="I20" s="87">
        <v>13</v>
      </c>
      <c r="J20" s="87">
        <v>14</v>
      </c>
      <c r="K20" s="87">
        <v>30</v>
      </c>
      <c r="L20" s="87">
        <v>21</v>
      </c>
      <c r="M20" s="87">
        <v>22</v>
      </c>
      <c r="N20" s="87">
        <v>30</v>
      </c>
      <c r="O20" s="87">
        <v>20</v>
      </c>
      <c r="P20" s="87">
        <v>37</v>
      </c>
      <c r="Q20" s="87">
        <v>26</v>
      </c>
      <c r="R20" s="87">
        <v>24</v>
      </c>
      <c r="S20" s="87">
        <v>27</v>
      </c>
      <c r="T20" s="87">
        <v>33</v>
      </c>
      <c r="U20" s="87">
        <v>16</v>
      </c>
      <c r="V20" s="87">
        <v>22</v>
      </c>
      <c r="W20" s="87">
        <v>21</v>
      </c>
      <c r="X20" s="87">
        <v>24</v>
      </c>
      <c r="Y20" s="87">
        <v>23</v>
      </c>
      <c r="Z20" s="87">
        <v>23</v>
      </c>
      <c r="AA20" s="87">
        <v>16</v>
      </c>
      <c r="AB20" s="87">
        <v>18</v>
      </c>
      <c r="AC20" s="87">
        <v>27</v>
      </c>
      <c r="AD20" s="87">
        <v>14</v>
      </c>
      <c r="AE20" s="87">
        <v>23</v>
      </c>
      <c r="AF20" s="87">
        <v>16</v>
      </c>
      <c r="AG20" s="87">
        <v>22</v>
      </c>
      <c r="AH20" s="87">
        <v>24</v>
      </c>
      <c r="AI20" s="87">
        <v>17</v>
      </c>
      <c r="AJ20" s="88">
        <f t="shared" si="0"/>
        <v>20.399999999999999</v>
      </c>
    </row>
    <row r="21" spans="1:37" x14ac:dyDescent="0.45">
      <c r="A21" s="89" t="s">
        <v>32</v>
      </c>
      <c r="B21" s="90">
        <v>26</v>
      </c>
      <c r="C21" s="90">
        <v>16</v>
      </c>
      <c r="D21" s="90">
        <v>10</v>
      </c>
      <c r="E21" s="90">
        <v>12</v>
      </c>
      <c r="F21" s="90">
        <v>8</v>
      </c>
      <c r="G21" s="90">
        <v>14</v>
      </c>
      <c r="H21" s="90">
        <v>9</v>
      </c>
      <c r="I21" s="90">
        <v>8</v>
      </c>
      <c r="J21" s="90">
        <v>9</v>
      </c>
      <c r="K21" s="90">
        <v>15</v>
      </c>
      <c r="L21" s="90">
        <v>16</v>
      </c>
      <c r="M21" s="90">
        <v>9</v>
      </c>
      <c r="N21" s="90">
        <v>10</v>
      </c>
      <c r="O21" s="90">
        <v>16</v>
      </c>
      <c r="P21" s="90">
        <v>9</v>
      </c>
      <c r="Q21" s="90">
        <v>2</v>
      </c>
      <c r="R21" s="90">
        <v>2</v>
      </c>
      <c r="S21" s="90">
        <v>11</v>
      </c>
      <c r="T21" s="90">
        <v>17</v>
      </c>
      <c r="U21" s="90">
        <v>11</v>
      </c>
      <c r="V21" s="90">
        <v>21</v>
      </c>
      <c r="W21" s="90">
        <v>11</v>
      </c>
      <c r="X21" s="90">
        <v>8</v>
      </c>
      <c r="Y21" s="90">
        <v>4</v>
      </c>
      <c r="Z21" s="90">
        <v>13</v>
      </c>
      <c r="AA21" s="90">
        <v>7</v>
      </c>
      <c r="AB21" s="90">
        <v>9</v>
      </c>
      <c r="AC21" s="90">
        <v>12</v>
      </c>
      <c r="AD21" s="90">
        <v>6</v>
      </c>
      <c r="AE21" s="90">
        <v>12</v>
      </c>
      <c r="AF21" s="90">
        <v>9</v>
      </c>
      <c r="AG21" s="90">
        <v>10</v>
      </c>
      <c r="AH21" s="90">
        <v>4</v>
      </c>
      <c r="AI21" s="90">
        <v>1</v>
      </c>
      <c r="AJ21" s="91">
        <f t="shared" si="0"/>
        <v>7.2</v>
      </c>
    </row>
    <row r="22" spans="1:37" x14ac:dyDescent="0.45">
      <c r="A22" s="83" t="s">
        <v>33</v>
      </c>
      <c r="B22" s="84">
        <v>24</v>
      </c>
      <c r="C22" s="84">
        <v>18</v>
      </c>
      <c r="D22" s="84">
        <v>18</v>
      </c>
      <c r="E22" s="84">
        <v>16</v>
      </c>
      <c r="F22" s="84">
        <v>10</v>
      </c>
      <c r="G22" s="84">
        <v>13</v>
      </c>
      <c r="H22" s="84">
        <v>18</v>
      </c>
      <c r="I22" s="84">
        <v>7</v>
      </c>
      <c r="J22" s="84">
        <v>12</v>
      </c>
      <c r="K22" s="84">
        <v>15</v>
      </c>
      <c r="L22" s="84">
        <v>16</v>
      </c>
      <c r="M22" s="84">
        <v>12</v>
      </c>
      <c r="N22" s="84">
        <v>18</v>
      </c>
      <c r="O22" s="84">
        <v>13</v>
      </c>
      <c r="P22" s="84">
        <v>7</v>
      </c>
      <c r="Q22" s="84">
        <v>11</v>
      </c>
      <c r="R22" s="84">
        <v>9</v>
      </c>
      <c r="S22" s="84">
        <v>9</v>
      </c>
      <c r="T22" s="84">
        <v>7</v>
      </c>
      <c r="U22" s="84">
        <v>11</v>
      </c>
      <c r="V22" s="84">
        <v>23</v>
      </c>
      <c r="W22" s="84">
        <v>16</v>
      </c>
      <c r="X22" s="84">
        <v>10</v>
      </c>
      <c r="Y22" s="84">
        <v>9</v>
      </c>
      <c r="Z22" s="84">
        <v>17</v>
      </c>
      <c r="AA22" s="84">
        <v>12</v>
      </c>
      <c r="AB22" s="84">
        <v>14</v>
      </c>
      <c r="AC22" s="84">
        <v>23</v>
      </c>
      <c r="AD22" s="84">
        <v>16</v>
      </c>
      <c r="AE22" s="84">
        <v>11</v>
      </c>
      <c r="AF22" s="84">
        <v>9</v>
      </c>
      <c r="AG22" s="84">
        <v>7</v>
      </c>
      <c r="AH22" s="84">
        <v>12</v>
      </c>
      <c r="AI22" s="84">
        <v>17</v>
      </c>
      <c r="AJ22" s="85">
        <f t="shared" si="0"/>
        <v>11.2</v>
      </c>
    </row>
    <row r="23" spans="1:37" ht="10.75" thickBot="1" x14ac:dyDescent="0.5">
      <c r="A23" s="92" t="s">
        <v>34</v>
      </c>
      <c r="B23" s="93">
        <v>32</v>
      </c>
      <c r="C23" s="93">
        <v>24</v>
      </c>
      <c r="D23" s="93">
        <v>8</v>
      </c>
      <c r="E23" s="93">
        <v>14</v>
      </c>
      <c r="F23" s="93">
        <v>8</v>
      </c>
      <c r="G23" s="93">
        <v>14</v>
      </c>
      <c r="H23" s="93">
        <v>19</v>
      </c>
      <c r="I23" s="93">
        <v>13</v>
      </c>
      <c r="J23" s="93">
        <v>14</v>
      </c>
      <c r="K23" s="93">
        <v>12</v>
      </c>
      <c r="L23" s="93">
        <v>4</v>
      </c>
      <c r="M23" s="93">
        <v>7</v>
      </c>
      <c r="N23" s="93">
        <v>9</v>
      </c>
      <c r="O23" s="93">
        <v>10</v>
      </c>
      <c r="P23" s="93">
        <v>7</v>
      </c>
      <c r="Q23" s="93">
        <v>9</v>
      </c>
      <c r="R23" s="93">
        <v>10</v>
      </c>
      <c r="S23" s="93">
        <v>7</v>
      </c>
      <c r="T23" s="93">
        <v>0</v>
      </c>
      <c r="U23" s="93">
        <v>0</v>
      </c>
      <c r="V23" s="93">
        <v>6</v>
      </c>
      <c r="W23" s="93">
        <v>6</v>
      </c>
      <c r="X23" s="93">
        <v>6</v>
      </c>
      <c r="Y23" s="93">
        <v>11</v>
      </c>
      <c r="Z23" s="93">
        <v>13</v>
      </c>
      <c r="AA23" s="93">
        <v>7</v>
      </c>
      <c r="AB23" s="93">
        <v>5</v>
      </c>
      <c r="AC23" s="93">
        <v>6</v>
      </c>
      <c r="AD23" s="93">
        <v>11</v>
      </c>
      <c r="AE23" s="93">
        <v>6</v>
      </c>
      <c r="AF23" s="93">
        <v>1</v>
      </c>
      <c r="AG23" s="93">
        <v>2</v>
      </c>
      <c r="AH23" s="93">
        <v>10</v>
      </c>
      <c r="AI23" s="93">
        <v>5</v>
      </c>
      <c r="AJ23" s="94">
        <f t="shared" si="0"/>
        <v>4.8</v>
      </c>
    </row>
    <row r="24" spans="1:37" ht="10.75" thickBot="1" x14ac:dyDescent="0.5">
      <c r="A24" s="61" t="s">
        <v>40</v>
      </c>
      <c r="B24" s="28">
        <f t="shared" ref="B24:AA24" si="1">SUM(B3:B23)</f>
        <v>669</v>
      </c>
      <c r="C24" s="28">
        <f t="shared" si="1"/>
        <v>499</v>
      </c>
      <c r="D24" s="28">
        <f t="shared" si="1"/>
        <v>488</v>
      </c>
      <c r="E24" s="28">
        <f t="shared" si="1"/>
        <v>461</v>
      </c>
      <c r="F24" s="28">
        <f t="shared" si="1"/>
        <v>361</v>
      </c>
      <c r="G24" s="28">
        <f t="shared" si="1"/>
        <v>364</v>
      </c>
      <c r="H24" s="28">
        <f t="shared" si="1"/>
        <v>349</v>
      </c>
      <c r="I24" s="28">
        <f t="shared" si="1"/>
        <v>318</v>
      </c>
      <c r="J24" s="28">
        <f t="shared" si="1"/>
        <v>289</v>
      </c>
      <c r="K24" s="28">
        <f t="shared" si="1"/>
        <v>318</v>
      </c>
      <c r="L24" s="28">
        <f t="shared" si="1"/>
        <v>291</v>
      </c>
      <c r="M24" s="38">
        <f t="shared" si="1"/>
        <v>241</v>
      </c>
      <c r="N24" s="38">
        <f t="shared" si="1"/>
        <v>286</v>
      </c>
      <c r="O24" s="38">
        <f t="shared" si="1"/>
        <v>320</v>
      </c>
      <c r="P24" s="38">
        <f t="shared" si="1"/>
        <v>327</v>
      </c>
      <c r="Q24" s="38">
        <f t="shared" si="1"/>
        <v>328</v>
      </c>
      <c r="R24" s="38">
        <f t="shared" si="1"/>
        <v>344</v>
      </c>
      <c r="S24" s="38">
        <f t="shared" si="1"/>
        <v>332</v>
      </c>
      <c r="T24" s="38">
        <f t="shared" si="1"/>
        <v>330</v>
      </c>
      <c r="U24" s="38">
        <f t="shared" si="1"/>
        <v>325</v>
      </c>
      <c r="V24" s="38">
        <f t="shared" si="1"/>
        <v>423</v>
      </c>
      <c r="W24" s="38">
        <f t="shared" si="1"/>
        <v>338</v>
      </c>
      <c r="X24" s="38">
        <f t="shared" si="1"/>
        <v>347</v>
      </c>
      <c r="Y24" s="38">
        <f t="shared" si="1"/>
        <v>329</v>
      </c>
      <c r="Z24" s="38">
        <f t="shared" si="1"/>
        <v>520</v>
      </c>
      <c r="AA24" s="38">
        <f t="shared" si="1"/>
        <v>324</v>
      </c>
      <c r="AB24" s="95">
        <f>SUM(AB3:AB23)</f>
        <v>358</v>
      </c>
      <c r="AC24" s="95">
        <f t="shared" ref="AC24:AI24" si="2">SUM(AC3:AC23)</f>
        <v>344</v>
      </c>
      <c r="AD24" s="95">
        <f t="shared" si="2"/>
        <v>294</v>
      </c>
      <c r="AE24" s="95">
        <f t="shared" si="2"/>
        <v>445</v>
      </c>
      <c r="AF24" s="95">
        <f t="shared" si="2"/>
        <v>250</v>
      </c>
      <c r="AG24" s="95">
        <f t="shared" si="2"/>
        <v>262</v>
      </c>
      <c r="AH24" s="95">
        <f t="shared" si="2"/>
        <v>383</v>
      </c>
      <c r="AI24" s="95">
        <f t="shared" si="2"/>
        <v>245</v>
      </c>
      <c r="AJ24" s="95">
        <f>AVERAGE(AE24:AI24)</f>
        <v>317</v>
      </c>
    </row>
    <row r="25" spans="1:37" x14ac:dyDescent="0.25">
      <c r="A25" s="96" t="s">
        <v>35</v>
      </c>
      <c r="B25" s="97">
        <v>45</v>
      </c>
      <c r="C25" s="98">
        <v>45</v>
      </c>
      <c r="D25" s="98">
        <v>57</v>
      </c>
      <c r="E25" s="98">
        <v>43</v>
      </c>
      <c r="F25" s="98">
        <v>31</v>
      </c>
      <c r="G25" s="98">
        <v>35</v>
      </c>
      <c r="H25" s="98">
        <v>38</v>
      </c>
      <c r="I25" s="98">
        <v>31</v>
      </c>
      <c r="J25" s="98">
        <v>38</v>
      </c>
      <c r="K25" s="98">
        <v>34</v>
      </c>
      <c r="L25" s="98">
        <v>25</v>
      </c>
      <c r="M25" s="99">
        <v>19</v>
      </c>
      <c r="N25" s="99">
        <v>22</v>
      </c>
      <c r="O25" s="99">
        <v>23</v>
      </c>
      <c r="P25" s="99">
        <v>15</v>
      </c>
      <c r="Q25" s="99">
        <v>21</v>
      </c>
      <c r="R25" s="99">
        <v>25</v>
      </c>
      <c r="S25" s="99">
        <v>14</v>
      </c>
      <c r="T25" s="99">
        <v>22</v>
      </c>
      <c r="U25" s="99">
        <v>15</v>
      </c>
      <c r="V25" s="99">
        <v>18</v>
      </c>
      <c r="W25" s="100">
        <v>24</v>
      </c>
      <c r="X25" s="100">
        <v>14</v>
      </c>
      <c r="Y25" s="100">
        <v>21</v>
      </c>
      <c r="Z25" s="100">
        <v>21</v>
      </c>
      <c r="AA25" s="100">
        <v>17</v>
      </c>
      <c r="AB25" s="100">
        <v>19</v>
      </c>
      <c r="AC25" s="100">
        <v>18</v>
      </c>
      <c r="AD25" s="100">
        <v>16</v>
      </c>
      <c r="AE25" s="100">
        <v>23</v>
      </c>
      <c r="AF25" s="100">
        <v>14</v>
      </c>
      <c r="AG25" s="100">
        <v>8</v>
      </c>
      <c r="AH25" s="100">
        <v>11</v>
      </c>
      <c r="AI25" s="100">
        <v>14</v>
      </c>
      <c r="AJ25" s="100">
        <f>AVERAGE(AE25:AI25)</f>
        <v>14</v>
      </c>
    </row>
    <row r="26" spans="1:37" x14ac:dyDescent="0.45">
      <c r="A26" s="89" t="s">
        <v>37</v>
      </c>
      <c r="B26" s="90">
        <v>56</v>
      </c>
      <c r="C26" s="90">
        <v>67</v>
      </c>
      <c r="D26" s="90">
        <v>39</v>
      </c>
      <c r="E26" s="90">
        <v>63</v>
      </c>
      <c r="F26" s="90">
        <v>30</v>
      </c>
      <c r="G26" s="90">
        <v>29</v>
      </c>
      <c r="H26" s="90">
        <v>31</v>
      </c>
      <c r="I26" s="90">
        <v>13</v>
      </c>
      <c r="J26" s="90">
        <v>31</v>
      </c>
      <c r="K26" s="90">
        <v>32</v>
      </c>
      <c r="L26" s="90">
        <v>15</v>
      </c>
      <c r="M26" s="90">
        <v>10</v>
      </c>
      <c r="N26" s="90">
        <v>20</v>
      </c>
      <c r="O26" s="90">
        <v>15</v>
      </c>
      <c r="P26" s="90">
        <v>21</v>
      </c>
      <c r="Q26" s="90">
        <v>17</v>
      </c>
      <c r="R26" s="90">
        <v>16</v>
      </c>
      <c r="S26" s="90">
        <v>25</v>
      </c>
      <c r="T26" s="90">
        <v>13</v>
      </c>
      <c r="U26" s="90">
        <v>7</v>
      </c>
      <c r="V26" s="90">
        <v>13</v>
      </c>
      <c r="W26" s="90">
        <v>16</v>
      </c>
      <c r="X26" s="90">
        <v>17</v>
      </c>
      <c r="Y26" s="90">
        <v>21</v>
      </c>
      <c r="Z26" s="90">
        <v>38</v>
      </c>
      <c r="AA26" s="90">
        <v>15</v>
      </c>
      <c r="AB26" s="90">
        <v>15</v>
      </c>
      <c r="AC26" s="90">
        <v>13</v>
      </c>
      <c r="AD26" s="90">
        <v>23</v>
      </c>
      <c r="AE26" s="90">
        <v>24</v>
      </c>
      <c r="AF26" s="90">
        <v>7</v>
      </c>
      <c r="AG26" s="90">
        <v>7</v>
      </c>
      <c r="AH26" s="90">
        <v>23</v>
      </c>
      <c r="AI26" s="90">
        <v>16</v>
      </c>
      <c r="AJ26" s="91">
        <f t="shared" ref="AJ26:AJ28" si="3">AVERAGE(AE26:AI26)</f>
        <v>15.4</v>
      </c>
    </row>
    <row r="27" spans="1:37" x14ac:dyDescent="0.45">
      <c r="A27" s="86" t="s">
        <v>38</v>
      </c>
      <c r="B27" s="87">
        <v>110</v>
      </c>
      <c r="C27" s="87">
        <v>82</v>
      </c>
      <c r="D27" s="87">
        <v>82</v>
      </c>
      <c r="E27" s="87">
        <v>69</v>
      </c>
      <c r="F27" s="87">
        <v>62</v>
      </c>
      <c r="G27" s="87">
        <v>37</v>
      </c>
      <c r="H27" s="87">
        <v>49</v>
      </c>
      <c r="I27" s="87">
        <v>36</v>
      </c>
      <c r="J27" s="87">
        <v>35</v>
      </c>
      <c r="K27" s="87">
        <v>32</v>
      </c>
      <c r="L27" s="87">
        <v>61</v>
      </c>
      <c r="M27" s="87">
        <v>29</v>
      </c>
      <c r="N27" s="87">
        <v>50</v>
      </c>
      <c r="O27" s="87">
        <v>40</v>
      </c>
      <c r="P27" s="87">
        <v>43</v>
      </c>
      <c r="Q27" s="87">
        <v>43</v>
      </c>
      <c r="R27" s="87">
        <v>38</v>
      </c>
      <c r="S27" s="87">
        <v>34</v>
      </c>
      <c r="T27" s="87">
        <v>34</v>
      </c>
      <c r="U27" s="87">
        <v>33</v>
      </c>
      <c r="V27" s="87">
        <v>30</v>
      </c>
      <c r="W27" s="87">
        <v>21</v>
      </c>
      <c r="X27" s="87">
        <v>32</v>
      </c>
      <c r="Y27" s="87">
        <v>22</v>
      </c>
      <c r="Z27" s="87">
        <v>41</v>
      </c>
      <c r="AA27" s="87">
        <v>28</v>
      </c>
      <c r="AB27" s="87">
        <v>19</v>
      </c>
      <c r="AC27" s="87">
        <v>24</v>
      </c>
      <c r="AD27" s="87">
        <v>15</v>
      </c>
      <c r="AE27" s="87">
        <v>30</v>
      </c>
      <c r="AF27" s="87">
        <v>12</v>
      </c>
      <c r="AG27" s="87">
        <v>15</v>
      </c>
      <c r="AH27" s="87">
        <v>37</v>
      </c>
      <c r="AI27" s="87">
        <v>27</v>
      </c>
      <c r="AJ27" s="88">
        <f t="shared" si="3"/>
        <v>24.2</v>
      </c>
      <c r="AK27" s="101"/>
    </row>
    <row r="28" spans="1:37" ht="10.75" thickBot="1" x14ac:dyDescent="0.5">
      <c r="A28" s="102" t="s">
        <v>36</v>
      </c>
      <c r="B28" s="103">
        <v>81</v>
      </c>
      <c r="C28" s="103">
        <v>65</v>
      </c>
      <c r="D28" s="103">
        <v>79</v>
      </c>
      <c r="E28" s="103">
        <v>57</v>
      </c>
      <c r="F28" s="103">
        <v>37</v>
      </c>
      <c r="G28" s="103">
        <v>44</v>
      </c>
      <c r="H28" s="103">
        <v>46</v>
      </c>
      <c r="I28" s="103">
        <v>28</v>
      </c>
      <c r="J28" s="103">
        <v>31</v>
      </c>
      <c r="K28" s="103">
        <v>27</v>
      </c>
      <c r="L28" s="103">
        <v>10</v>
      </c>
      <c r="M28" s="103">
        <v>20</v>
      </c>
      <c r="N28" s="103">
        <v>25</v>
      </c>
      <c r="O28" s="103">
        <v>14</v>
      </c>
      <c r="P28" s="103">
        <v>10</v>
      </c>
      <c r="Q28" s="103">
        <v>13</v>
      </c>
      <c r="R28" s="103">
        <v>16</v>
      </c>
      <c r="S28" s="103">
        <v>15</v>
      </c>
      <c r="T28" s="103">
        <v>12</v>
      </c>
      <c r="U28" s="103">
        <v>7</v>
      </c>
      <c r="V28" s="103">
        <v>11</v>
      </c>
      <c r="W28" s="103">
        <v>4</v>
      </c>
      <c r="X28" s="103">
        <v>5</v>
      </c>
      <c r="Y28" s="103">
        <v>7</v>
      </c>
      <c r="Z28" s="103">
        <v>16</v>
      </c>
      <c r="AA28" s="103">
        <v>28</v>
      </c>
      <c r="AB28" s="103">
        <v>9</v>
      </c>
      <c r="AC28" s="103">
        <v>7</v>
      </c>
      <c r="AD28" s="103">
        <v>8</v>
      </c>
      <c r="AE28" s="103">
        <v>9</v>
      </c>
      <c r="AF28" s="103">
        <v>17</v>
      </c>
      <c r="AG28" s="103">
        <v>16</v>
      </c>
      <c r="AH28" s="103">
        <v>15</v>
      </c>
      <c r="AI28" s="103">
        <v>22</v>
      </c>
      <c r="AJ28" s="104">
        <f t="shared" si="3"/>
        <v>15.8</v>
      </c>
      <c r="AK28" s="101"/>
    </row>
    <row r="29" spans="1:37" ht="10.75" thickBot="1" x14ac:dyDescent="0.5">
      <c r="A29" s="62" t="s">
        <v>41</v>
      </c>
      <c r="B29" s="38">
        <f t="shared" ref="B29:L29" si="4">SUM(B25:B28)</f>
        <v>292</v>
      </c>
      <c r="C29" s="29">
        <f t="shared" si="4"/>
        <v>259</v>
      </c>
      <c r="D29" s="29">
        <f t="shared" si="4"/>
        <v>257</v>
      </c>
      <c r="E29" s="29">
        <f t="shared" si="4"/>
        <v>232</v>
      </c>
      <c r="F29" s="29">
        <f t="shared" si="4"/>
        <v>160</v>
      </c>
      <c r="G29" s="29">
        <f t="shared" si="4"/>
        <v>145</v>
      </c>
      <c r="H29" s="29">
        <f t="shared" si="4"/>
        <v>164</v>
      </c>
      <c r="I29" s="41">
        <f t="shared" si="4"/>
        <v>108</v>
      </c>
      <c r="J29" s="41">
        <f t="shared" si="4"/>
        <v>135</v>
      </c>
      <c r="K29" s="41">
        <f t="shared" si="4"/>
        <v>125</v>
      </c>
      <c r="L29" s="41">
        <f t="shared" si="4"/>
        <v>111</v>
      </c>
      <c r="M29" s="41">
        <f>SUM(M25:M28)</f>
        <v>78</v>
      </c>
      <c r="N29" s="41">
        <f t="shared" ref="N29:Y29" si="5">SUM(N25:N28)</f>
        <v>117</v>
      </c>
      <c r="O29" s="41">
        <f t="shared" si="5"/>
        <v>92</v>
      </c>
      <c r="P29" s="41">
        <f t="shared" si="5"/>
        <v>89</v>
      </c>
      <c r="Q29" s="41">
        <f t="shared" si="5"/>
        <v>94</v>
      </c>
      <c r="R29" s="41">
        <f t="shared" si="5"/>
        <v>95</v>
      </c>
      <c r="S29" s="41">
        <f t="shared" si="5"/>
        <v>88</v>
      </c>
      <c r="T29" s="41">
        <f t="shared" si="5"/>
        <v>81</v>
      </c>
      <c r="U29" s="41">
        <f t="shared" si="5"/>
        <v>62</v>
      </c>
      <c r="V29" s="41">
        <f t="shared" si="5"/>
        <v>72</v>
      </c>
      <c r="W29" s="41">
        <f t="shared" si="5"/>
        <v>65</v>
      </c>
      <c r="X29" s="41">
        <f t="shared" si="5"/>
        <v>68</v>
      </c>
      <c r="Y29" s="41">
        <f t="shared" si="5"/>
        <v>71</v>
      </c>
      <c r="Z29" s="41">
        <f>SUM(Z25:Z28)</f>
        <v>116</v>
      </c>
      <c r="AA29" s="41">
        <f>SUM(AA25:AA28)</f>
        <v>88</v>
      </c>
      <c r="AB29" s="105">
        <f>SUM(AB25:AB28)</f>
        <v>62</v>
      </c>
      <c r="AC29" s="105">
        <f t="shared" ref="AC29:AI29" si="6">SUM(AC25:AC28)</f>
        <v>62</v>
      </c>
      <c r="AD29" s="105">
        <f t="shared" si="6"/>
        <v>62</v>
      </c>
      <c r="AE29" s="105">
        <f t="shared" si="6"/>
        <v>86</v>
      </c>
      <c r="AF29" s="105">
        <f t="shared" si="6"/>
        <v>50</v>
      </c>
      <c r="AG29" s="105">
        <f t="shared" si="6"/>
        <v>46</v>
      </c>
      <c r="AH29" s="105">
        <f t="shared" si="6"/>
        <v>86</v>
      </c>
      <c r="AI29" s="105">
        <f t="shared" si="6"/>
        <v>79</v>
      </c>
      <c r="AJ29" s="141">
        <f>AVERAGE(AE29:AI29)</f>
        <v>69.400000000000006</v>
      </c>
    </row>
    <row r="30" spans="1:37" ht="10.75" thickBot="1" x14ac:dyDescent="0.5">
      <c r="A30" s="39" t="s">
        <v>39</v>
      </c>
      <c r="B30" s="40">
        <f t="shared" ref="B30:AE30" si="7">+B24+B29</f>
        <v>961</v>
      </c>
      <c r="C30" s="30">
        <f t="shared" si="7"/>
        <v>758</v>
      </c>
      <c r="D30" s="32">
        <f t="shared" si="7"/>
        <v>745</v>
      </c>
      <c r="E30" s="30">
        <f t="shared" si="7"/>
        <v>693</v>
      </c>
      <c r="F30" s="32">
        <f t="shared" si="7"/>
        <v>521</v>
      </c>
      <c r="G30" s="30">
        <f t="shared" si="7"/>
        <v>509</v>
      </c>
      <c r="H30" s="30">
        <f t="shared" si="7"/>
        <v>513</v>
      </c>
      <c r="I30" s="30">
        <f t="shared" si="7"/>
        <v>426</v>
      </c>
      <c r="J30" s="30">
        <f t="shared" si="7"/>
        <v>424</v>
      </c>
      <c r="K30" s="30">
        <f t="shared" si="7"/>
        <v>443</v>
      </c>
      <c r="L30" s="30">
        <f t="shared" si="7"/>
        <v>402</v>
      </c>
      <c r="M30" s="30">
        <f>+M24+M29</f>
        <v>319</v>
      </c>
      <c r="N30" s="30">
        <f t="shared" si="7"/>
        <v>403</v>
      </c>
      <c r="O30" s="30">
        <f t="shared" si="7"/>
        <v>412</v>
      </c>
      <c r="P30" s="30">
        <f t="shared" si="7"/>
        <v>416</v>
      </c>
      <c r="Q30" s="30">
        <f t="shared" si="7"/>
        <v>422</v>
      </c>
      <c r="R30" s="30">
        <f t="shared" si="7"/>
        <v>439</v>
      </c>
      <c r="S30" s="30">
        <f t="shared" si="7"/>
        <v>420</v>
      </c>
      <c r="T30" s="30">
        <f t="shared" si="7"/>
        <v>411</v>
      </c>
      <c r="U30" s="30">
        <f t="shared" si="7"/>
        <v>387</v>
      </c>
      <c r="V30" s="30">
        <f t="shared" si="7"/>
        <v>495</v>
      </c>
      <c r="W30" s="30">
        <f t="shared" si="7"/>
        <v>403</v>
      </c>
      <c r="X30" s="30">
        <f t="shared" si="7"/>
        <v>415</v>
      </c>
      <c r="Y30" s="30">
        <f t="shared" si="7"/>
        <v>400</v>
      </c>
      <c r="Z30" s="30">
        <f t="shared" si="7"/>
        <v>636</v>
      </c>
      <c r="AA30" s="30">
        <f>+AA24+AA29</f>
        <v>412</v>
      </c>
      <c r="AB30" s="30">
        <f>+AB24+AB29</f>
        <v>420</v>
      </c>
      <c r="AC30" s="30">
        <f t="shared" si="7"/>
        <v>406</v>
      </c>
      <c r="AD30" s="30">
        <f t="shared" si="7"/>
        <v>356</v>
      </c>
      <c r="AE30" s="30">
        <f t="shared" si="7"/>
        <v>531</v>
      </c>
      <c r="AF30" s="30">
        <f>+AF24+AF29</f>
        <v>300</v>
      </c>
      <c r="AG30" s="30">
        <f>+AG24+AG29</f>
        <v>308</v>
      </c>
      <c r="AH30" s="30">
        <f>+AH24+AH29</f>
        <v>469</v>
      </c>
      <c r="AI30" s="30">
        <f>+AI24+AI29</f>
        <v>324</v>
      </c>
      <c r="AJ30" s="106">
        <f>+AJ24+AJ29</f>
        <v>386.4</v>
      </c>
    </row>
    <row r="31" spans="1:37" ht="10.75" thickBot="1" x14ac:dyDescent="0.5"/>
    <row r="32" spans="1:37" ht="10.75" thickBot="1" x14ac:dyDescent="0.3">
      <c r="A32" s="107" t="s">
        <v>59</v>
      </c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>
        <v>0</v>
      </c>
      <c r="N32" s="26">
        <v>0</v>
      </c>
      <c r="O32" s="26">
        <v>0</v>
      </c>
      <c r="P32" s="26">
        <v>0</v>
      </c>
      <c r="Q32" s="26">
        <v>21</v>
      </c>
      <c r="R32" s="26">
        <v>44</v>
      </c>
      <c r="S32" s="26">
        <v>12</v>
      </c>
      <c r="T32" s="26">
        <v>15</v>
      </c>
      <c r="U32" s="26">
        <v>15</v>
      </c>
      <c r="V32" s="26">
        <v>24</v>
      </c>
      <c r="W32" s="17">
        <v>15</v>
      </c>
      <c r="X32" s="17">
        <v>11</v>
      </c>
      <c r="Y32" s="17">
        <v>9</v>
      </c>
      <c r="Z32" s="17">
        <v>5</v>
      </c>
      <c r="AA32" s="17">
        <v>7</v>
      </c>
      <c r="AB32" s="108">
        <v>27</v>
      </c>
      <c r="AC32" s="108">
        <v>30</v>
      </c>
      <c r="AD32" s="108">
        <v>27</v>
      </c>
      <c r="AE32" s="108">
        <v>32</v>
      </c>
      <c r="AF32" s="108">
        <v>66</v>
      </c>
      <c r="AG32" s="108">
        <v>126</v>
      </c>
      <c r="AH32" s="108">
        <v>82</v>
      </c>
      <c r="AI32" s="108">
        <v>72</v>
      </c>
      <c r="AJ32" s="142">
        <f>+AVERAGE(AE32:AI32)</f>
        <v>75.599999999999994</v>
      </c>
    </row>
    <row r="33" spans="1:36" ht="10.75" thickBot="1" x14ac:dyDescent="0.5"/>
    <row r="34" spans="1:36" ht="10.75" thickBot="1" x14ac:dyDescent="0.5">
      <c r="A34" s="39" t="s">
        <v>79</v>
      </c>
      <c r="B34" s="40"/>
      <c r="C34" s="30"/>
      <c r="D34" s="32"/>
      <c r="E34" s="30"/>
      <c r="F34" s="32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>
        <f>+AB30+AB32</f>
        <v>447</v>
      </c>
      <c r="AC34" s="30">
        <f t="shared" ref="AC34:AE34" si="8">+AC30+AC32</f>
        <v>436</v>
      </c>
      <c r="AD34" s="30">
        <f t="shared" si="8"/>
        <v>383</v>
      </c>
      <c r="AE34" s="30">
        <f t="shared" si="8"/>
        <v>563</v>
      </c>
      <c r="AF34" s="30">
        <f>+AF30+AF32</f>
        <v>366</v>
      </c>
      <c r="AG34" s="30">
        <f>+AG30+AG32</f>
        <v>434</v>
      </c>
      <c r="AH34" s="30">
        <f>+AH30+AH32</f>
        <v>551</v>
      </c>
      <c r="AI34" s="30">
        <f>+AI30+AI32</f>
        <v>396</v>
      </c>
      <c r="AJ34" s="106">
        <f>+AVERAGE(AE34:AI34)</f>
        <v>462</v>
      </c>
    </row>
    <row r="35" spans="1:36" ht="10.75" thickBot="1" x14ac:dyDescent="0.5"/>
    <row r="36" spans="1:36" ht="21" thickBot="1" x14ac:dyDescent="0.5">
      <c r="A36" s="109" t="s">
        <v>80</v>
      </c>
      <c r="B36" s="110"/>
      <c r="C36" s="111"/>
      <c r="D36" s="111"/>
      <c r="E36" s="112"/>
      <c r="F36" s="112"/>
      <c r="G36" s="112"/>
      <c r="H36" s="112"/>
      <c r="I36" s="113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4" t="s">
        <v>72</v>
      </c>
      <c r="AC36" s="114" t="s">
        <v>73</v>
      </c>
      <c r="AD36" s="114" t="s">
        <v>74</v>
      </c>
      <c r="AE36" s="149" t="s">
        <v>75</v>
      </c>
      <c r="AF36" s="114" t="s">
        <v>76</v>
      </c>
      <c r="AG36" s="36" t="s">
        <v>77</v>
      </c>
      <c r="AH36" s="36" t="s">
        <v>87</v>
      </c>
      <c r="AI36" s="140" t="s">
        <v>89</v>
      </c>
      <c r="AJ36" s="64" t="s">
        <v>78</v>
      </c>
    </row>
    <row r="37" spans="1:36" x14ac:dyDescent="0.45">
      <c r="A37" s="65" t="s">
        <v>81</v>
      </c>
      <c r="B37" s="115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7"/>
      <c r="AB37" s="118">
        <f>SUM(AB3:AB8)</f>
        <v>111</v>
      </c>
      <c r="AC37" s="116">
        <f t="shared" ref="AC37:AG37" si="9">SUM(AC3:AC8)</f>
        <v>81</v>
      </c>
      <c r="AD37" s="116">
        <f t="shared" si="9"/>
        <v>81</v>
      </c>
      <c r="AE37" s="116">
        <f t="shared" si="9"/>
        <v>136</v>
      </c>
      <c r="AF37" s="116">
        <f t="shared" si="9"/>
        <v>71</v>
      </c>
      <c r="AG37" s="119">
        <f t="shared" si="9"/>
        <v>66</v>
      </c>
      <c r="AH37" s="119">
        <f>SUM(AH3:AH8)</f>
        <v>92</v>
      </c>
      <c r="AI37" s="119">
        <f>SUM(AI3:AI8)</f>
        <v>58</v>
      </c>
      <c r="AJ37" s="143">
        <f>AVERAGE(AE37:AI37)</f>
        <v>84.6</v>
      </c>
    </row>
    <row r="38" spans="1:36" x14ac:dyDescent="0.45">
      <c r="A38" s="74" t="s">
        <v>82</v>
      </c>
      <c r="B38" s="12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2"/>
      <c r="AB38" s="123">
        <f>SUM(AB9:AB15)</f>
        <v>147</v>
      </c>
      <c r="AC38" s="121">
        <f t="shared" ref="AC38:AI38" si="10">SUM(AC9:AC15)</f>
        <v>143</v>
      </c>
      <c r="AD38" s="121">
        <f t="shared" si="10"/>
        <v>115</v>
      </c>
      <c r="AE38" s="121">
        <f t="shared" si="10"/>
        <v>172</v>
      </c>
      <c r="AF38" s="121">
        <f t="shared" si="10"/>
        <v>85</v>
      </c>
      <c r="AG38" s="124">
        <f t="shared" si="10"/>
        <v>105</v>
      </c>
      <c r="AH38" s="124">
        <f t="shared" si="10"/>
        <v>174</v>
      </c>
      <c r="AI38" s="124">
        <f t="shared" si="10"/>
        <v>100</v>
      </c>
      <c r="AJ38" s="144">
        <f t="shared" ref="AJ38:AJ41" si="11">AVERAGE(AE38:AI38)</f>
        <v>127.2</v>
      </c>
    </row>
    <row r="39" spans="1:36" x14ac:dyDescent="0.45">
      <c r="A39" s="83" t="s">
        <v>83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125"/>
      <c r="AB39" s="125">
        <f>+AB16+AB17+AB18+AB22</f>
        <v>60</v>
      </c>
      <c r="AC39" s="126">
        <f t="shared" ref="AC39:AI39" si="12">+AC16+AC17+AC18+AC22</f>
        <v>62</v>
      </c>
      <c r="AD39" s="126">
        <f t="shared" si="12"/>
        <v>53</v>
      </c>
      <c r="AE39" s="126">
        <f t="shared" si="12"/>
        <v>79</v>
      </c>
      <c r="AF39" s="126">
        <f t="shared" si="12"/>
        <v>51</v>
      </c>
      <c r="AG39" s="127">
        <f t="shared" si="12"/>
        <v>48</v>
      </c>
      <c r="AH39" s="127">
        <f t="shared" si="12"/>
        <v>70</v>
      </c>
      <c r="AI39" s="127">
        <f t="shared" si="12"/>
        <v>55</v>
      </c>
      <c r="AJ39" s="145">
        <f t="shared" si="11"/>
        <v>60.6</v>
      </c>
    </row>
    <row r="40" spans="1:36" x14ac:dyDescent="0.45">
      <c r="A40" s="86" t="s">
        <v>84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128"/>
      <c r="AB40" s="128">
        <f>+AB19+AB20+AB27</f>
        <v>45</v>
      </c>
      <c r="AC40" s="129">
        <f t="shared" ref="AC40:AI40" si="13">+AC19+AC20+AC27</f>
        <v>64</v>
      </c>
      <c r="AD40" s="129">
        <f t="shared" si="13"/>
        <v>43</v>
      </c>
      <c r="AE40" s="129">
        <f t="shared" si="13"/>
        <v>70</v>
      </c>
      <c r="AF40" s="129">
        <f t="shared" si="13"/>
        <v>45</v>
      </c>
      <c r="AG40" s="130">
        <f t="shared" si="13"/>
        <v>46</v>
      </c>
      <c r="AH40" s="130">
        <f t="shared" si="13"/>
        <v>70</v>
      </c>
      <c r="AI40" s="130">
        <f t="shared" si="13"/>
        <v>53</v>
      </c>
      <c r="AJ40" s="146">
        <f t="shared" si="11"/>
        <v>56.8</v>
      </c>
    </row>
    <row r="41" spans="1:36" ht="10.75" thickBot="1" x14ac:dyDescent="0.5">
      <c r="A41" s="131" t="s">
        <v>85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3"/>
      <c r="AB41" s="133">
        <f>+AB21+AB23+AB25+AB26+AB28</f>
        <v>57</v>
      </c>
      <c r="AC41" s="134">
        <f t="shared" ref="AC41:AF41" si="14">+AC21+AC23+AC25+AC26+AC28</f>
        <v>56</v>
      </c>
      <c r="AD41" s="134">
        <f t="shared" si="14"/>
        <v>64</v>
      </c>
      <c r="AE41" s="134">
        <f t="shared" si="14"/>
        <v>74</v>
      </c>
      <c r="AF41" s="134">
        <f t="shared" si="14"/>
        <v>48</v>
      </c>
      <c r="AG41" s="135">
        <f>+AG21+AG23+AG25+AG26+AG28</f>
        <v>43</v>
      </c>
      <c r="AH41" s="135">
        <f>+AH21+AH23+AH25+AH26+AH28</f>
        <v>63</v>
      </c>
      <c r="AI41" s="135">
        <f>+AI21+AI23+AI25+AI26+AI28</f>
        <v>58</v>
      </c>
      <c r="AJ41" s="147">
        <f t="shared" si="11"/>
        <v>57.2</v>
      </c>
    </row>
  </sheetData>
  <mergeCells count="1">
    <mergeCell ref="A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"/>
  <sheetViews>
    <sheetView topLeftCell="B1" workbookViewId="0">
      <selection activeCell="P23" sqref="P23"/>
    </sheetView>
  </sheetViews>
  <sheetFormatPr baseColWidth="10" defaultRowHeight="15.9" x14ac:dyDescent="0.45"/>
  <cols>
    <col min="1" max="1" width="16.2109375" hidden="1" customWidth="1"/>
    <col min="2" max="2" width="15.85546875" bestFit="1" customWidth="1"/>
    <col min="3" max="3" width="5.640625" hidden="1" customWidth="1"/>
    <col min="4" max="4" width="5.28515625" hidden="1" customWidth="1"/>
    <col min="5" max="5" width="5.78515625" hidden="1" customWidth="1"/>
    <col min="6" max="6" width="5.28515625" hidden="1" customWidth="1"/>
    <col min="7" max="7" width="5.85546875" hidden="1" customWidth="1"/>
    <col min="8" max="8" width="5.140625" hidden="1" customWidth="1"/>
    <col min="9" max="9" width="4.640625" hidden="1" customWidth="1"/>
    <col min="10" max="10" width="5.5703125" hidden="1" customWidth="1"/>
    <col min="11" max="11" width="5.640625" hidden="1" customWidth="1"/>
    <col min="12" max="12" width="5.140625" bestFit="1" customWidth="1"/>
    <col min="13" max="13" width="5.5703125" bestFit="1" customWidth="1"/>
    <col min="14" max="14" width="5.0703125" bestFit="1" customWidth="1"/>
    <col min="15" max="15" width="5.640625" bestFit="1" customWidth="1"/>
    <col min="16" max="16" width="5.28515625" bestFit="1" customWidth="1"/>
    <col min="17" max="17" width="5.78515625" bestFit="1" customWidth="1"/>
    <col min="18" max="18" width="5.78515625" customWidth="1"/>
    <col min="19" max="22" width="5.78515625" bestFit="1" customWidth="1"/>
  </cols>
  <sheetData>
    <row r="1" spans="1:22" ht="16.3" thickBot="1" x14ac:dyDescent="0.5">
      <c r="B1" s="138" t="s">
        <v>42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</row>
    <row r="2" spans="1:22" ht="13.85" customHeight="1" thickBot="1" x14ac:dyDescent="0.5">
      <c r="B2" s="49" t="s">
        <v>0</v>
      </c>
      <c r="C2" s="14">
        <v>45682</v>
      </c>
      <c r="D2" s="15">
        <v>45713</v>
      </c>
      <c r="E2" s="16">
        <v>45741</v>
      </c>
      <c r="F2" s="14">
        <v>45772</v>
      </c>
      <c r="G2" s="14">
        <v>45802</v>
      </c>
      <c r="H2" s="14">
        <v>45833</v>
      </c>
      <c r="I2" s="14">
        <v>45863</v>
      </c>
      <c r="J2" s="14">
        <v>45894</v>
      </c>
      <c r="K2" s="15">
        <v>45925</v>
      </c>
      <c r="L2" s="15">
        <v>45955</v>
      </c>
      <c r="M2" s="14">
        <v>45986</v>
      </c>
      <c r="N2" s="14">
        <v>46016</v>
      </c>
      <c r="O2" s="15">
        <v>46047</v>
      </c>
      <c r="P2" s="15">
        <v>46078</v>
      </c>
      <c r="Q2" s="15">
        <v>46106</v>
      </c>
      <c r="R2" s="44">
        <v>46137</v>
      </c>
      <c r="S2" s="48">
        <v>46167</v>
      </c>
      <c r="T2" s="48">
        <v>46198</v>
      </c>
      <c r="U2" s="48">
        <v>46228</v>
      </c>
      <c r="V2" s="46">
        <v>46259</v>
      </c>
    </row>
    <row r="3" spans="1:22" ht="12" customHeight="1" x14ac:dyDescent="0.45">
      <c r="A3" s="1" t="s">
        <v>1</v>
      </c>
      <c r="B3" s="51" t="s">
        <v>1</v>
      </c>
      <c r="C3" s="52">
        <v>176</v>
      </c>
      <c r="D3" s="53">
        <v>180</v>
      </c>
      <c r="E3" s="54">
        <v>144</v>
      </c>
      <c r="F3" s="52">
        <v>155</v>
      </c>
      <c r="G3" s="52">
        <v>154</v>
      </c>
      <c r="H3" s="52">
        <v>141</v>
      </c>
      <c r="I3" s="52">
        <v>106</v>
      </c>
      <c r="J3" s="53">
        <v>87</v>
      </c>
      <c r="K3" s="55">
        <v>57</v>
      </c>
      <c r="L3" s="55">
        <v>39</v>
      </c>
      <c r="M3" s="52">
        <v>60</v>
      </c>
      <c r="N3" s="53">
        <v>66</v>
      </c>
      <c r="O3" s="55">
        <v>123</v>
      </c>
      <c r="P3" s="55">
        <v>103</v>
      </c>
      <c r="Q3" s="55">
        <v>99</v>
      </c>
      <c r="R3" s="55">
        <v>36</v>
      </c>
      <c r="S3" s="53">
        <v>57</v>
      </c>
      <c r="T3" s="53">
        <v>80</v>
      </c>
      <c r="U3" s="53">
        <v>97</v>
      </c>
      <c r="V3" s="53">
        <v>94</v>
      </c>
    </row>
    <row r="4" spans="1:22" ht="12" customHeight="1" x14ac:dyDescent="0.45">
      <c r="A4" s="1" t="s">
        <v>2</v>
      </c>
      <c r="B4" s="56" t="s">
        <v>3</v>
      </c>
      <c r="C4" s="57">
        <v>110</v>
      </c>
      <c r="D4" s="58">
        <v>58</v>
      </c>
      <c r="E4" s="59">
        <v>96</v>
      </c>
      <c r="F4" s="57">
        <v>67</v>
      </c>
      <c r="G4" s="57">
        <v>98</v>
      </c>
      <c r="H4" s="57">
        <v>79</v>
      </c>
      <c r="I4" s="57">
        <v>119</v>
      </c>
      <c r="J4" s="58">
        <v>94</v>
      </c>
      <c r="K4" s="60">
        <v>72</v>
      </c>
      <c r="L4" s="60">
        <v>48</v>
      </c>
      <c r="M4" s="57">
        <v>49</v>
      </c>
      <c r="N4" s="58">
        <v>53</v>
      </c>
      <c r="O4" s="60">
        <v>99</v>
      </c>
      <c r="P4" s="60">
        <v>78</v>
      </c>
      <c r="Q4" s="60">
        <v>75</v>
      </c>
      <c r="R4" s="60">
        <v>51</v>
      </c>
      <c r="S4" s="58">
        <v>34</v>
      </c>
      <c r="T4" s="58">
        <v>55</v>
      </c>
      <c r="U4" s="58">
        <v>56</v>
      </c>
      <c r="V4" s="58">
        <v>51</v>
      </c>
    </row>
    <row r="5" spans="1:22" ht="12" customHeight="1" x14ac:dyDescent="0.45">
      <c r="A5" s="1" t="s">
        <v>4</v>
      </c>
      <c r="B5" s="56" t="s">
        <v>4</v>
      </c>
      <c r="C5" s="57">
        <v>162</v>
      </c>
      <c r="D5" s="58">
        <v>120</v>
      </c>
      <c r="E5" s="59">
        <v>125</v>
      </c>
      <c r="F5" s="57">
        <v>94</v>
      </c>
      <c r="G5" s="57">
        <v>102</v>
      </c>
      <c r="H5" s="57">
        <v>95</v>
      </c>
      <c r="I5" s="57">
        <v>111</v>
      </c>
      <c r="J5" s="58">
        <v>86</v>
      </c>
      <c r="K5" s="60">
        <v>49</v>
      </c>
      <c r="L5" s="60">
        <v>36</v>
      </c>
      <c r="M5" s="57">
        <v>57</v>
      </c>
      <c r="N5" s="58">
        <v>62</v>
      </c>
      <c r="O5" s="60">
        <v>127</v>
      </c>
      <c r="P5" s="60">
        <v>90</v>
      </c>
      <c r="Q5" s="60">
        <v>47</v>
      </c>
      <c r="R5" s="60">
        <v>32</v>
      </c>
      <c r="S5" s="58">
        <v>38</v>
      </c>
      <c r="T5" s="58">
        <v>37</v>
      </c>
      <c r="U5" s="58">
        <v>59</v>
      </c>
      <c r="V5" s="58">
        <v>43</v>
      </c>
    </row>
    <row r="6" spans="1:22" ht="12" customHeight="1" x14ac:dyDescent="0.45">
      <c r="A6" s="1" t="s">
        <v>5</v>
      </c>
      <c r="B6" s="56" t="s">
        <v>6</v>
      </c>
      <c r="C6" s="57">
        <v>114</v>
      </c>
      <c r="D6" s="58">
        <v>97</v>
      </c>
      <c r="E6" s="59">
        <v>87</v>
      </c>
      <c r="F6" s="57">
        <v>114</v>
      </c>
      <c r="G6" s="57">
        <v>124</v>
      </c>
      <c r="H6" s="57">
        <v>119</v>
      </c>
      <c r="I6" s="57">
        <v>107</v>
      </c>
      <c r="J6" s="58">
        <v>105</v>
      </c>
      <c r="K6" s="60">
        <v>76</v>
      </c>
      <c r="L6" s="60">
        <v>54</v>
      </c>
      <c r="M6" s="57">
        <v>21</v>
      </c>
      <c r="N6" s="58">
        <v>50</v>
      </c>
      <c r="O6" s="60">
        <v>90</v>
      </c>
      <c r="P6" s="60">
        <v>100</v>
      </c>
      <c r="Q6" s="60">
        <v>96</v>
      </c>
      <c r="R6" s="60">
        <v>50</v>
      </c>
      <c r="S6" s="58">
        <v>61</v>
      </c>
      <c r="T6" s="58">
        <v>106</v>
      </c>
      <c r="U6" s="58">
        <v>93</v>
      </c>
      <c r="V6" s="58">
        <v>87</v>
      </c>
    </row>
    <row r="7" spans="1:22" ht="12" customHeight="1" x14ac:dyDescent="0.45">
      <c r="A7" s="1" t="s">
        <v>7</v>
      </c>
      <c r="B7" s="56" t="s">
        <v>8</v>
      </c>
      <c r="C7" s="57">
        <v>181</v>
      </c>
      <c r="D7" s="58">
        <v>153</v>
      </c>
      <c r="E7" s="59">
        <v>211</v>
      </c>
      <c r="F7" s="57">
        <v>159</v>
      </c>
      <c r="G7" s="57">
        <v>159</v>
      </c>
      <c r="H7" s="57">
        <v>158</v>
      </c>
      <c r="I7" s="57">
        <v>148</v>
      </c>
      <c r="J7" s="58">
        <v>119</v>
      </c>
      <c r="K7" s="60">
        <v>95</v>
      </c>
      <c r="L7" s="60">
        <v>49</v>
      </c>
      <c r="M7" s="57">
        <v>84</v>
      </c>
      <c r="N7" s="58">
        <v>118</v>
      </c>
      <c r="O7" s="60">
        <v>200</v>
      </c>
      <c r="P7" s="60">
        <v>191</v>
      </c>
      <c r="Q7" s="60">
        <v>153</v>
      </c>
      <c r="R7" s="60">
        <v>132</v>
      </c>
      <c r="S7" s="58">
        <v>117</v>
      </c>
      <c r="T7" s="58">
        <v>131</v>
      </c>
      <c r="U7" s="58">
        <v>169</v>
      </c>
      <c r="V7" s="58">
        <v>130</v>
      </c>
    </row>
    <row r="8" spans="1:22" ht="12" customHeight="1" x14ac:dyDescent="0.45">
      <c r="A8" s="1" t="s">
        <v>9</v>
      </c>
      <c r="B8" s="56" t="s">
        <v>9</v>
      </c>
      <c r="C8" s="57">
        <v>137</v>
      </c>
      <c r="D8" s="58">
        <v>111</v>
      </c>
      <c r="E8" s="59">
        <v>113</v>
      </c>
      <c r="F8" s="57">
        <v>142</v>
      </c>
      <c r="G8" s="57">
        <v>125</v>
      </c>
      <c r="H8" s="57">
        <v>121</v>
      </c>
      <c r="I8" s="57">
        <v>114</v>
      </c>
      <c r="J8" s="58">
        <v>100</v>
      </c>
      <c r="K8" s="60">
        <v>84</v>
      </c>
      <c r="L8" s="60">
        <v>52</v>
      </c>
      <c r="M8" s="57">
        <v>37</v>
      </c>
      <c r="N8" s="58">
        <v>66</v>
      </c>
      <c r="O8" s="60">
        <v>129</v>
      </c>
      <c r="P8" s="60">
        <v>95</v>
      </c>
      <c r="Q8" s="60">
        <v>71</v>
      </c>
      <c r="R8" s="60">
        <v>43</v>
      </c>
      <c r="S8" s="58">
        <v>46</v>
      </c>
      <c r="T8" s="58">
        <v>71</v>
      </c>
      <c r="U8" s="58">
        <v>64</v>
      </c>
      <c r="V8" s="58">
        <v>63</v>
      </c>
    </row>
    <row r="9" spans="1:22" ht="12" customHeight="1" x14ac:dyDescent="0.45">
      <c r="A9" s="1" t="s">
        <v>10</v>
      </c>
      <c r="B9" s="56" t="s">
        <v>11</v>
      </c>
      <c r="C9" s="57">
        <v>100</v>
      </c>
      <c r="D9" s="58">
        <v>96</v>
      </c>
      <c r="E9" s="59">
        <v>73</v>
      </c>
      <c r="F9" s="57">
        <v>38</v>
      </c>
      <c r="G9" s="57">
        <v>43</v>
      </c>
      <c r="H9" s="57">
        <v>62</v>
      </c>
      <c r="I9" s="57">
        <v>93</v>
      </c>
      <c r="J9" s="58">
        <v>127</v>
      </c>
      <c r="K9" s="60">
        <v>83</v>
      </c>
      <c r="L9" s="60">
        <v>49</v>
      </c>
      <c r="M9" s="57">
        <v>41</v>
      </c>
      <c r="N9" s="58">
        <v>32</v>
      </c>
      <c r="O9" s="60">
        <v>69</v>
      </c>
      <c r="P9" s="60">
        <v>85</v>
      </c>
      <c r="Q9" s="60">
        <v>44</v>
      </c>
      <c r="R9" s="60">
        <v>39</v>
      </c>
      <c r="S9" s="58">
        <v>45</v>
      </c>
      <c r="T9" s="58">
        <v>40</v>
      </c>
      <c r="U9" s="58">
        <v>39</v>
      </c>
      <c r="V9" s="58">
        <v>27</v>
      </c>
    </row>
    <row r="10" spans="1:22" ht="12" customHeight="1" x14ac:dyDescent="0.45">
      <c r="A10" s="1" t="s">
        <v>12</v>
      </c>
      <c r="B10" s="56" t="s">
        <v>13</v>
      </c>
      <c r="C10" s="57">
        <v>168</v>
      </c>
      <c r="D10" s="58">
        <v>141</v>
      </c>
      <c r="E10" s="59">
        <v>109</v>
      </c>
      <c r="F10" s="57">
        <v>83</v>
      </c>
      <c r="G10" s="57">
        <v>105</v>
      </c>
      <c r="H10" s="57">
        <v>121</v>
      </c>
      <c r="I10" s="57">
        <v>127</v>
      </c>
      <c r="J10" s="58">
        <v>104</v>
      </c>
      <c r="K10" s="60">
        <v>67</v>
      </c>
      <c r="L10" s="60">
        <v>39</v>
      </c>
      <c r="M10" s="57">
        <v>65</v>
      </c>
      <c r="N10" s="58">
        <v>59</v>
      </c>
      <c r="O10" s="60">
        <v>142</v>
      </c>
      <c r="P10" s="60">
        <v>98</v>
      </c>
      <c r="Q10" s="60">
        <v>82</v>
      </c>
      <c r="R10" s="60">
        <v>56</v>
      </c>
      <c r="S10" s="58">
        <v>65</v>
      </c>
      <c r="T10" s="58">
        <v>83</v>
      </c>
      <c r="U10" s="58">
        <v>124</v>
      </c>
      <c r="V10" s="58">
        <v>117</v>
      </c>
    </row>
    <row r="11" spans="1:22" ht="12" customHeight="1" x14ac:dyDescent="0.45">
      <c r="A11" s="1" t="s">
        <v>14</v>
      </c>
      <c r="B11" s="56" t="s">
        <v>14</v>
      </c>
      <c r="C11" s="57">
        <v>304</v>
      </c>
      <c r="D11" s="58">
        <v>279</v>
      </c>
      <c r="E11" s="59">
        <v>296</v>
      </c>
      <c r="F11" s="57">
        <v>250</v>
      </c>
      <c r="G11" s="57">
        <v>233</v>
      </c>
      <c r="H11" s="57">
        <v>246</v>
      </c>
      <c r="I11" s="57">
        <v>231</v>
      </c>
      <c r="J11" s="58">
        <v>200</v>
      </c>
      <c r="K11" s="60">
        <v>144</v>
      </c>
      <c r="L11" s="60">
        <v>113</v>
      </c>
      <c r="M11" s="57">
        <v>89</v>
      </c>
      <c r="N11" s="58">
        <v>96</v>
      </c>
      <c r="O11" s="60">
        <v>216</v>
      </c>
      <c r="P11" s="60">
        <v>192</v>
      </c>
      <c r="Q11" s="60">
        <v>168</v>
      </c>
      <c r="R11" s="60">
        <v>129</v>
      </c>
      <c r="S11" s="58">
        <v>153</v>
      </c>
      <c r="T11" s="58">
        <v>148</v>
      </c>
      <c r="U11" s="58">
        <v>135</v>
      </c>
      <c r="V11" s="58">
        <v>171</v>
      </c>
    </row>
    <row r="12" spans="1:22" ht="12" customHeight="1" x14ac:dyDescent="0.45">
      <c r="A12" s="1" t="s">
        <v>15</v>
      </c>
      <c r="B12" s="56" t="s">
        <v>15</v>
      </c>
      <c r="C12" s="57">
        <v>74</v>
      </c>
      <c r="D12" s="58">
        <v>49</v>
      </c>
      <c r="E12" s="59">
        <v>55</v>
      </c>
      <c r="F12" s="57">
        <v>81</v>
      </c>
      <c r="G12" s="57">
        <v>75</v>
      </c>
      <c r="H12" s="57">
        <v>72</v>
      </c>
      <c r="I12" s="57">
        <v>58</v>
      </c>
      <c r="J12" s="58">
        <v>56</v>
      </c>
      <c r="K12" s="60">
        <v>40</v>
      </c>
      <c r="L12" s="60">
        <v>24</v>
      </c>
      <c r="M12" s="57">
        <v>25</v>
      </c>
      <c r="N12" s="58">
        <v>25</v>
      </c>
      <c r="O12" s="60">
        <v>48</v>
      </c>
      <c r="P12" s="60">
        <v>52</v>
      </c>
      <c r="Q12" s="60">
        <v>29</v>
      </c>
      <c r="R12" s="60">
        <v>18</v>
      </c>
      <c r="S12" s="58">
        <v>33</v>
      </c>
      <c r="T12" s="58">
        <v>35</v>
      </c>
      <c r="U12" s="58">
        <v>35</v>
      </c>
      <c r="V12" s="58">
        <v>52</v>
      </c>
    </row>
    <row r="13" spans="1:22" ht="12" customHeight="1" x14ac:dyDescent="0.45">
      <c r="A13" s="1" t="s">
        <v>16</v>
      </c>
      <c r="B13" s="56" t="s">
        <v>16</v>
      </c>
      <c r="C13" s="57">
        <v>181</v>
      </c>
      <c r="D13" s="58">
        <v>176</v>
      </c>
      <c r="E13" s="59">
        <v>179</v>
      </c>
      <c r="F13" s="57">
        <v>139</v>
      </c>
      <c r="G13" s="57">
        <v>136</v>
      </c>
      <c r="H13" s="57">
        <v>146</v>
      </c>
      <c r="I13" s="57">
        <v>134</v>
      </c>
      <c r="J13" s="58">
        <v>147</v>
      </c>
      <c r="K13" s="60">
        <v>125</v>
      </c>
      <c r="L13" s="60">
        <v>97</v>
      </c>
      <c r="M13" s="57">
        <v>67</v>
      </c>
      <c r="N13" s="58">
        <v>78</v>
      </c>
      <c r="O13" s="60">
        <v>122</v>
      </c>
      <c r="P13" s="60">
        <v>148</v>
      </c>
      <c r="Q13" s="60">
        <v>93</v>
      </c>
      <c r="R13" s="60">
        <v>71</v>
      </c>
      <c r="S13" s="58">
        <v>58</v>
      </c>
      <c r="T13" s="58">
        <v>83</v>
      </c>
      <c r="U13" s="58">
        <v>96</v>
      </c>
      <c r="V13" s="58">
        <v>84</v>
      </c>
    </row>
    <row r="14" spans="1:22" ht="12" customHeight="1" x14ac:dyDescent="0.45">
      <c r="A14" s="1" t="s">
        <v>17</v>
      </c>
      <c r="B14" s="56" t="s">
        <v>18</v>
      </c>
      <c r="C14" s="57">
        <v>208</v>
      </c>
      <c r="D14" s="58">
        <v>213</v>
      </c>
      <c r="E14" s="59">
        <v>189</v>
      </c>
      <c r="F14" s="57">
        <v>193</v>
      </c>
      <c r="G14" s="57">
        <v>205</v>
      </c>
      <c r="H14" s="57">
        <v>216</v>
      </c>
      <c r="I14" s="57">
        <v>139</v>
      </c>
      <c r="J14" s="58">
        <v>112</v>
      </c>
      <c r="K14" s="60">
        <v>116</v>
      </c>
      <c r="L14" s="60">
        <v>55</v>
      </c>
      <c r="M14" s="57">
        <v>65</v>
      </c>
      <c r="N14" s="58">
        <v>54</v>
      </c>
      <c r="O14" s="60">
        <v>155</v>
      </c>
      <c r="P14" s="60">
        <v>126</v>
      </c>
      <c r="Q14" s="60">
        <v>176</v>
      </c>
      <c r="R14" s="60">
        <v>81</v>
      </c>
      <c r="S14" s="58">
        <v>110</v>
      </c>
      <c r="T14" s="58">
        <v>117</v>
      </c>
      <c r="U14" s="58">
        <v>128</v>
      </c>
      <c r="V14" s="58">
        <v>101</v>
      </c>
    </row>
    <row r="15" spans="1:22" ht="12" customHeight="1" x14ac:dyDescent="0.45">
      <c r="A15" s="1" t="s">
        <v>19</v>
      </c>
      <c r="B15" s="56" t="s">
        <v>20</v>
      </c>
      <c r="C15" s="57">
        <v>149</v>
      </c>
      <c r="D15" s="58">
        <v>104</v>
      </c>
      <c r="E15" s="59">
        <v>105</v>
      </c>
      <c r="F15" s="57">
        <v>76</v>
      </c>
      <c r="G15" s="57">
        <v>81</v>
      </c>
      <c r="H15" s="57">
        <v>86</v>
      </c>
      <c r="I15" s="57">
        <v>104</v>
      </c>
      <c r="J15" s="58">
        <v>91</v>
      </c>
      <c r="K15" s="60">
        <v>67</v>
      </c>
      <c r="L15" s="60">
        <v>48</v>
      </c>
      <c r="M15" s="57">
        <v>50</v>
      </c>
      <c r="N15" s="58">
        <v>57</v>
      </c>
      <c r="O15" s="60">
        <v>96</v>
      </c>
      <c r="P15" s="60">
        <v>94</v>
      </c>
      <c r="Q15" s="60">
        <v>79</v>
      </c>
      <c r="R15" s="60">
        <v>71</v>
      </c>
      <c r="S15" s="58">
        <v>69</v>
      </c>
      <c r="T15" s="58">
        <v>57</v>
      </c>
      <c r="U15" s="58">
        <v>59</v>
      </c>
      <c r="V15" s="58">
        <v>67</v>
      </c>
    </row>
    <row r="16" spans="1:22" ht="12" customHeight="1" x14ac:dyDescent="0.45">
      <c r="A16" s="1" t="s">
        <v>21</v>
      </c>
      <c r="B16" s="56" t="s">
        <v>22</v>
      </c>
      <c r="C16" s="57">
        <v>142</v>
      </c>
      <c r="D16" s="58">
        <v>142</v>
      </c>
      <c r="E16" s="59">
        <v>72</v>
      </c>
      <c r="F16" s="57">
        <v>61</v>
      </c>
      <c r="G16" s="57">
        <v>77</v>
      </c>
      <c r="H16" s="57">
        <v>83</v>
      </c>
      <c r="I16" s="57">
        <v>131</v>
      </c>
      <c r="J16" s="58">
        <v>108</v>
      </c>
      <c r="K16" s="60">
        <v>95</v>
      </c>
      <c r="L16" s="60">
        <v>43</v>
      </c>
      <c r="M16" s="57">
        <v>67</v>
      </c>
      <c r="N16" s="58">
        <v>41</v>
      </c>
      <c r="O16" s="60">
        <v>112</v>
      </c>
      <c r="P16" s="60">
        <v>97</v>
      </c>
      <c r="Q16" s="60">
        <v>67</v>
      </c>
      <c r="R16" s="60">
        <v>40</v>
      </c>
      <c r="S16" s="58">
        <v>52</v>
      </c>
      <c r="T16" s="58">
        <v>93</v>
      </c>
      <c r="U16" s="58">
        <v>99</v>
      </c>
      <c r="V16" s="58">
        <v>83</v>
      </c>
    </row>
    <row r="17" spans="1:22" ht="12" customHeight="1" x14ac:dyDescent="0.45">
      <c r="A17" s="1" t="s">
        <v>23</v>
      </c>
      <c r="B17" s="56" t="s">
        <v>24</v>
      </c>
      <c r="C17" s="57">
        <v>157</v>
      </c>
      <c r="D17" s="58">
        <v>70</v>
      </c>
      <c r="E17" s="59">
        <v>58</v>
      </c>
      <c r="F17" s="57">
        <v>40</v>
      </c>
      <c r="G17" s="57">
        <v>33</v>
      </c>
      <c r="H17" s="57">
        <v>47</v>
      </c>
      <c r="I17" s="57">
        <v>73</v>
      </c>
      <c r="J17" s="58">
        <v>93</v>
      </c>
      <c r="K17" s="60">
        <v>43</v>
      </c>
      <c r="L17" s="60">
        <v>37</v>
      </c>
      <c r="M17" s="57">
        <v>37</v>
      </c>
      <c r="N17" s="58">
        <v>27</v>
      </c>
      <c r="O17" s="60">
        <v>128</v>
      </c>
      <c r="P17" s="60">
        <v>128</v>
      </c>
      <c r="Q17" s="60">
        <v>87</v>
      </c>
      <c r="R17" s="60">
        <v>42</v>
      </c>
      <c r="S17" s="58">
        <v>58</v>
      </c>
      <c r="T17" s="58">
        <v>43</v>
      </c>
      <c r="U17" s="58">
        <v>79</v>
      </c>
      <c r="V17" s="58">
        <v>74</v>
      </c>
    </row>
    <row r="18" spans="1:22" ht="12" customHeight="1" x14ac:dyDescent="0.45">
      <c r="A18" s="1" t="s">
        <v>25</v>
      </c>
      <c r="B18" s="56" t="s">
        <v>26</v>
      </c>
      <c r="C18" s="57">
        <v>115</v>
      </c>
      <c r="D18" s="58">
        <v>103</v>
      </c>
      <c r="E18" s="59">
        <v>91</v>
      </c>
      <c r="F18" s="57">
        <v>68</v>
      </c>
      <c r="G18" s="57">
        <v>95</v>
      </c>
      <c r="H18" s="57">
        <v>81</v>
      </c>
      <c r="I18" s="57">
        <v>76</v>
      </c>
      <c r="J18" s="58">
        <v>80</v>
      </c>
      <c r="K18" s="60">
        <v>48</v>
      </c>
      <c r="L18" s="60">
        <v>36</v>
      </c>
      <c r="M18" s="57">
        <v>38</v>
      </c>
      <c r="N18" s="58">
        <v>43</v>
      </c>
      <c r="O18" s="60">
        <v>77</v>
      </c>
      <c r="P18" s="60">
        <v>73</v>
      </c>
      <c r="Q18" s="60">
        <v>34</v>
      </c>
      <c r="R18" s="60">
        <v>32</v>
      </c>
      <c r="S18" s="58">
        <v>34</v>
      </c>
      <c r="T18" s="58">
        <v>67</v>
      </c>
      <c r="U18" s="58">
        <v>79</v>
      </c>
      <c r="V18" s="58">
        <v>52</v>
      </c>
    </row>
    <row r="19" spans="1:22" ht="12" customHeight="1" x14ac:dyDescent="0.45">
      <c r="A19" s="1" t="s">
        <v>27</v>
      </c>
      <c r="B19" s="56" t="s">
        <v>28</v>
      </c>
      <c r="C19" s="57">
        <v>93</v>
      </c>
      <c r="D19" s="58">
        <v>88</v>
      </c>
      <c r="E19" s="59">
        <v>100</v>
      </c>
      <c r="F19" s="57">
        <v>59</v>
      </c>
      <c r="G19" s="57">
        <v>63</v>
      </c>
      <c r="H19" s="57">
        <v>51</v>
      </c>
      <c r="I19" s="57">
        <v>63</v>
      </c>
      <c r="J19" s="58">
        <v>55</v>
      </c>
      <c r="K19" s="60">
        <v>56</v>
      </c>
      <c r="L19" s="60">
        <v>41</v>
      </c>
      <c r="M19" s="57">
        <v>48</v>
      </c>
      <c r="N19" s="58">
        <v>40</v>
      </c>
      <c r="O19" s="60">
        <v>85</v>
      </c>
      <c r="P19" s="60">
        <v>108</v>
      </c>
      <c r="Q19" s="60">
        <v>51</v>
      </c>
      <c r="R19" s="60">
        <v>42</v>
      </c>
      <c r="S19" s="58">
        <v>40</v>
      </c>
      <c r="T19" s="58">
        <v>59</v>
      </c>
      <c r="U19" s="58">
        <v>63</v>
      </c>
      <c r="V19" s="58">
        <v>60</v>
      </c>
    </row>
    <row r="20" spans="1:22" ht="12" customHeight="1" x14ac:dyDescent="0.45">
      <c r="A20" s="1" t="s">
        <v>29</v>
      </c>
      <c r="B20" s="56" t="s">
        <v>30</v>
      </c>
      <c r="C20" s="57">
        <v>145</v>
      </c>
      <c r="D20" s="58">
        <v>172</v>
      </c>
      <c r="E20" s="59">
        <v>143</v>
      </c>
      <c r="F20" s="57">
        <v>126</v>
      </c>
      <c r="G20" s="57">
        <v>148</v>
      </c>
      <c r="H20" s="57">
        <v>144</v>
      </c>
      <c r="I20" s="57">
        <v>127</v>
      </c>
      <c r="J20" s="58">
        <v>132</v>
      </c>
      <c r="K20" s="60">
        <v>95</v>
      </c>
      <c r="L20" s="60">
        <v>72</v>
      </c>
      <c r="M20" s="57">
        <v>101</v>
      </c>
      <c r="N20" s="58">
        <v>116</v>
      </c>
      <c r="O20" s="60">
        <v>220</v>
      </c>
      <c r="P20" s="60">
        <v>152</v>
      </c>
      <c r="Q20" s="60">
        <v>133</v>
      </c>
      <c r="R20" s="60">
        <v>92</v>
      </c>
      <c r="S20" s="58">
        <v>115</v>
      </c>
      <c r="T20" s="58">
        <v>111</v>
      </c>
      <c r="U20" s="58">
        <v>101</v>
      </c>
      <c r="V20" s="58">
        <v>89</v>
      </c>
    </row>
    <row r="21" spans="1:22" ht="12" customHeight="1" x14ac:dyDescent="0.45">
      <c r="A21" s="1" t="s">
        <v>31</v>
      </c>
      <c r="B21" s="56" t="s">
        <v>32</v>
      </c>
      <c r="C21" s="57">
        <v>89</v>
      </c>
      <c r="D21" s="58">
        <v>97</v>
      </c>
      <c r="E21" s="59">
        <v>80</v>
      </c>
      <c r="F21" s="57">
        <v>69</v>
      </c>
      <c r="G21" s="57">
        <v>69</v>
      </c>
      <c r="H21" s="57">
        <v>67</v>
      </c>
      <c r="I21" s="57">
        <v>86</v>
      </c>
      <c r="J21" s="58">
        <v>70</v>
      </c>
      <c r="K21" s="60">
        <v>51</v>
      </c>
      <c r="L21" s="60">
        <v>49</v>
      </c>
      <c r="M21" s="57">
        <v>27</v>
      </c>
      <c r="N21" s="58">
        <v>57</v>
      </c>
      <c r="O21" s="60">
        <v>72</v>
      </c>
      <c r="P21" s="60">
        <v>63</v>
      </c>
      <c r="Q21" s="60">
        <v>48</v>
      </c>
      <c r="R21" s="60">
        <v>52</v>
      </c>
      <c r="S21" s="58">
        <v>37</v>
      </c>
      <c r="T21" s="58">
        <v>50</v>
      </c>
      <c r="U21" s="58">
        <v>47</v>
      </c>
      <c r="V21" s="58">
        <v>38</v>
      </c>
    </row>
    <row r="22" spans="1:22" ht="12" customHeight="1" x14ac:dyDescent="0.45">
      <c r="A22" s="1" t="s">
        <v>33</v>
      </c>
      <c r="B22" s="56" t="s">
        <v>33</v>
      </c>
      <c r="C22" s="57">
        <v>165</v>
      </c>
      <c r="D22" s="58">
        <v>102</v>
      </c>
      <c r="E22" s="59">
        <v>87</v>
      </c>
      <c r="F22" s="57">
        <v>98</v>
      </c>
      <c r="G22" s="57">
        <v>99</v>
      </c>
      <c r="H22" s="57">
        <v>124</v>
      </c>
      <c r="I22" s="57">
        <v>78</v>
      </c>
      <c r="J22" s="58">
        <v>99</v>
      </c>
      <c r="K22" s="60">
        <v>83</v>
      </c>
      <c r="L22" s="60">
        <v>43</v>
      </c>
      <c r="M22" s="57">
        <v>45</v>
      </c>
      <c r="N22" s="58">
        <v>59</v>
      </c>
      <c r="O22" s="60">
        <v>151</v>
      </c>
      <c r="P22" s="60">
        <v>97</v>
      </c>
      <c r="Q22" s="60">
        <v>60</v>
      </c>
      <c r="R22" s="60">
        <v>59</v>
      </c>
      <c r="S22" s="58">
        <v>50</v>
      </c>
      <c r="T22" s="58">
        <v>48</v>
      </c>
      <c r="U22" s="58">
        <v>60</v>
      </c>
      <c r="V22" s="58">
        <v>76</v>
      </c>
    </row>
    <row r="23" spans="1:22" ht="12" customHeight="1" x14ac:dyDescent="0.45">
      <c r="A23" s="1" t="s">
        <v>34</v>
      </c>
      <c r="B23" s="56" t="s">
        <v>34</v>
      </c>
      <c r="C23" s="57">
        <v>106</v>
      </c>
      <c r="D23" s="58">
        <v>142</v>
      </c>
      <c r="E23" s="59">
        <v>126</v>
      </c>
      <c r="F23" s="57">
        <v>117</v>
      </c>
      <c r="G23" s="57">
        <v>108</v>
      </c>
      <c r="H23" s="57">
        <v>57</v>
      </c>
      <c r="I23" s="57">
        <v>76</v>
      </c>
      <c r="J23" s="58">
        <v>52</v>
      </c>
      <c r="K23" s="60">
        <v>32</v>
      </c>
      <c r="L23" s="60">
        <v>17</v>
      </c>
      <c r="M23" s="57">
        <v>32</v>
      </c>
      <c r="N23" s="58">
        <v>39</v>
      </c>
      <c r="O23" s="60">
        <v>68</v>
      </c>
      <c r="P23" s="60">
        <v>83</v>
      </c>
      <c r="Q23" s="60">
        <v>63</v>
      </c>
      <c r="R23" s="60">
        <v>40</v>
      </c>
      <c r="S23" s="58">
        <v>38</v>
      </c>
      <c r="T23" s="58">
        <v>16</v>
      </c>
      <c r="U23" s="58">
        <v>40</v>
      </c>
      <c r="V23" s="58">
        <v>35</v>
      </c>
    </row>
    <row r="24" spans="1:22" ht="13.85" customHeight="1" thickBot="1" x14ac:dyDescent="0.5">
      <c r="A24" s="1"/>
      <c r="B24" s="47" t="s">
        <v>43</v>
      </c>
      <c r="C24" s="2">
        <v>0</v>
      </c>
      <c r="D24" s="5">
        <v>0</v>
      </c>
      <c r="E24" s="4">
        <v>0</v>
      </c>
      <c r="F24" s="2">
        <v>0</v>
      </c>
      <c r="G24" s="2">
        <v>0</v>
      </c>
      <c r="H24" s="2">
        <v>0</v>
      </c>
      <c r="I24" s="2">
        <v>1</v>
      </c>
      <c r="J24" s="5">
        <v>1</v>
      </c>
      <c r="K24" s="6">
        <v>10</v>
      </c>
      <c r="L24" s="6">
        <v>60</v>
      </c>
      <c r="M24" s="2">
        <v>32</v>
      </c>
      <c r="N24" s="5">
        <v>54</v>
      </c>
      <c r="O24" s="6">
        <v>5</v>
      </c>
      <c r="P24" s="6">
        <v>0</v>
      </c>
      <c r="Q24" s="6">
        <v>0</v>
      </c>
      <c r="R24" s="6">
        <v>0</v>
      </c>
      <c r="S24" s="47">
        <v>0</v>
      </c>
      <c r="T24" s="5">
        <v>0</v>
      </c>
      <c r="U24" s="5">
        <v>0</v>
      </c>
      <c r="V24" s="58">
        <v>0</v>
      </c>
    </row>
    <row r="25" spans="1:22" ht="12" customHeight="1" thickBot="1" x14ac:dyDescent="0.5">
      <c r="A25" s="1"/>
      <c r="B25" s="50" t="s">
        <v>40</v>
      </c>
      <c r="C25" s="9">
        <f>SUM(C3:C24)</f>
        <v>3076</v>
      </c>
      <c r="D25" s="9">
        <f t="shared" ref="D25:V25" si="0">SUM(D3:D24)</f>
        <v>2693</v>
      </c>
      <c r="E25" s="9">
        <f t="shared" si="0"/>
        <v>2539</v>
      </c>
      <c r="F25" s="9">
        <f t="shared" si="0"/>
        <v>2229</v>
      </c>
      <c r="G25" s="9">
        <f t="shared" si="0"/>
        <v>2332</v>
      </c>
      <c r="H25" s="9">
        <f t="shared" si="0"/>
        <v>2316</v>
      </c>
      <c r="I25" s="9">
        <f t="shared" si="0"/>
        <v>2302</v>
      </c>
      <c r="J25" s="9">
        <f t="shared" si="0"/>
        <v>2118</v>
      </c>
      <c r="K25" s="9">
        <f t="shared" si="0"/>
        <v>1588</v>
      </c>
      <c r="L25" s="9">
        <f t="shared" si="0"/>
        <v>1101</v>
      </c>
      <c r="M25" s="9">
        <f t="shared" si="0"/>
        <v>1137</v>
      </c>
      <c r="N25" s="9">
        <f t="shared" si="0"/>
        <v>1292</v>
      </c>
      <c r="O25" s="9">
        <f t="shared" si="0"/>
        <v>2534</v>
      </c>
      <c r="P25" s="9">
        <f t="shared" si="0"/>
        <v>2253</v>
      </c>
      <c r="Q25" s="9">
        <f t="shared" si="0"/>
        <v>1755</v>
      </c>
      <c r="R25" s="9">
        <f t="shared" si="0"/>
        <v>1208</v>
      </c>
      <c r="S25" s="9">
        <f t="shared" si="0"/>
        <v>1310</v>
      </c>
      <c r="T25" s="9">
        <f t="shared" si="0"/>
        <v>1530</v>
      </c>
      <c r="U25" s="9">
        <f t="shared" si="0"/>
        <v>1722</v>
      </c>
      <c r="V25" s="9">
        <f t="shared" si="0"/>
        <v>1594</v>
      </c>
    </row>
    <row r="26" spans="1:22" ht="12" customHeight="1" x14ac:dyDescent="0.45">
      <c r="A26" s="1" t="s">
        <v>35</v>
      </c>
      <c r="B26" s="3" t="s">
        <v>35</v>
      </c>
      <c r="C26" s="7">
        <v>0</v>
      </c>
      <c r="D26" s="3">
        <v>0</v>
      </c>
      <c r="E26" s="7">
        <v>0</v>
      </c>
      <c r="F26" s="8">
        <v>0</v>
      </c>
      <c r="G26" s="8">
        <v>0</v>
      </c>
      <c r="H26" s="8">
        <v>0</v>
      </c>
      <c r="I26" s="8">
        <v>192</v>
      </c>
      <c r="J26" s="3">
        <v>291</v>
      </c>
      <c r="K26" s="3">
        <v>293</v>
      </c>
      <c r="L26" s="3">
        <v>524</v>
      </c>
      <c r="M26" s="8">
        <v>297</v>
      </c>
      <c r="N26" s="3">
        <v>255</v>
      </c>
      <c r="O26" s="3">
        <v>366</v>
      </c>
      <c r="P26" s="3">
        <v>214</v>
      </c>
      <c r="Q26" s="6">
        <v>165</v>
      </c>
      <c r="R26" s="6">
        <v>130</v>
      </c>
      <c r="S26" s="5">
        <v>84</v>
      </c>
      <c r="T26" s="5">
        <v>81</v>
      </c>
      <c r="U26" s="5">
        <v>90</v>
      </c>
      <c r="V26" s="58">
        <v>83</v>
      </c>
    </row>
    <row r="27" spans="1:22" ht="12" customHeight="1" x14ac:dyDescent="0.45">
      <c r="A27" s="1" t="s">
        <v>37</v>
      </c>
      <c r="B27" s="56" t="s">
        <v>37</v>
      </c>
      <c r="C27" s="57">
        <v>0</v>
      </c>
      <c r="D27" s="58">
        <v>0</v>
      </c>
      <c r="E27" s="59">
        <v>0</v>
      </c>
      <c r="F27" s="57">
        <v>0</v>
      </c>
      <c r="G27" s="57">
        <v>0</v>
      </c>
      <c r="H27" s="57">
        <v>0</v>
      </c>
      <c r="I27" s="57">
        <v>0</v>
      </c>
      <c r="J27" s="58">
        <v>0</v>
      </c>
      <c r="K27" s="60">
        <v>0</v>
      </c>
      <c r="L27" s="60">
        <v>70</v>
      </c>
      <c r="M27" s="57">
        <v>119</v>
      </c>
      <c r="N27" s="58">
        <v>165</v>
      </c>
      <c r="O27" s="60">
        <v>465</v>
      </c>
      <c r="P27" s="60">
        <v>198</v>
      </c>
      <c r="Q27" s="60">
        <v>158</v>
      </c>
      <c r="R27" s="60">
        <v>94</v>
      </c>
      <c r="S27" s="58">
        <v>73</v>
      </c>
      <c r="T27" s="58">
        <v>63</v>
      </c>
      <c r="U27" s="58">
        <v>103</v>
      </c>
      <c r="V27" s="58">
        <v>78</v>
      </c>
    </row>
    <row r="28" spans="1:22" ht="12" customHeight="1" x14ac:dyDescent="0.45">
      <c r="A28" s="1" t="s">
        <v>38</v>
      </c>
      <c r="B28" s="56" t="s">
        <v>38</v>
      </c>
      <c r="C28" s="57">
        <v>0</v>
      </c>
      <c r="D28" s="58">
        <v>0</v>
      </c>
      <c r="E28" s="59">
        <v>0</v>
      </c>
      <c r="F28" s="57">
        <v>0</v>
      </c>
      <c r="G28" s="57">
        <v>0</v>
      </c>
      <c r="H28" s="57">
        <v>0</v>
      </c>
      <c r="I28" s="57">
        <v>0</v>
      </c>
      <c r="J28" s="58">
        <v>0</v>
      </c>
      <c r="K28" s="60">
        <v>0</v>
      </c>
      <c r="L28" s="60">
        <v>0</v>
      </c>
      <c r="M28" s="57">
        <v>40</v>
      </c>
      <c r="N28" s="58">
        <v>460</v>
      </c>
      <c r="O28" s="60">
        <v>682</v>
      </c>
      <c r="P28" s="60">
        <v>399</v>
      </c>
      <c r="Q28" s="60">
        <v>242</v>
      </c>
      <c r="R28" s="60">
        <v>163</v>
      </c>
      <c r="S28" s="58">
        <v>186</v>
      </c>
      <c r="T28" s="58">
        <v>150</v>
      </c>
      <c r="U28" s="58">
        <v>131</v>
      </c>
      <c r="V28" s="58">
        <v>106</v>
      </c>
    </row>
    <row r="29" spans="1:22" ht="12" customHeight="1" x14ac:dyDescent="0.45">
      <c r="A29" s="1" t="s">
        <v>36</v>
      </c>
      <c r="B29" s="56" t="s">
        <v>36</v>
      </c>
      <c r="C29" s="57">
        <v>0</v>
      </c>
      <c r="D29" s="58">
        <v>0</v>
      </c>
      <c r="E29" s="59">
        <v>0</v>
      </c>
      <c r="F29" s="57">
        <v>0</v>
      </c>
      <c r="G29" s="57">
        <v>0</v>
      </c>
      <c r="H29" s="57">
        <v>0</v>
      </c>
      <c r="I29" s="57">
        <v>142</v>
      </c>
      <c r="J29" s="58">
        <v>154</v>
      </c>
      <c r="K29" s="60">
        <v>153</v>
      </c>
      <c r="L29" s="60">
        <v>267</v>
      </c>
      <c r="M29" s="57">
        <v>129</v>
      </c>
      <c r="N29" s="58">
        <v>127</v>
      </c>
      <c r="O29" s="60">
        <v>232</v>
      </c>
      <c r="P29" s="60">
        <v>310</v>
      </c>
      <c r="Q29" s="60">
        <v>194</v>
      </c>
      <c r="R29" s="60">
        <v>104</v>
      </c>
      <c r="S29" s="58">
        <v>67</v>
      </c>
      <c r="T29" s="58">
        <v>52</v>
      </c>
      <c r="U29" s="58">
        <v>38</v>
      </c>
      <c r="V29" s="58">
        <v>56</v>
      </c>
    </row>
    <row r="30" spans="1:22" ht="12" customHeight="1" thickBot="1" x14ac:dyDescent="0.5">
      <c r="A30" s="1" t="s">
        <v>60</v>
      </c>
      <c r="B30" s="56" t="s">
        <v>60</v>
      </c>
      <c r="C30" s="57"/>
      <c r="D30" s="58"/>
      <c r="E30" s="59"/>
      <c r="F30" s="57"/>
      <c r="G30" s="57"/>
      <c r="H30" s="57"/>
      <c r="I30" s="57">
        <v>0</v>
      </c>
      <c r="J30" s="58">
        <v>0</v>
      </c>
      <c r="K30" s="60">
        <v>0</v>
      </c>
      <c r="L30" s="60">
        <v>0</v>
      </c>
      <c r="M30" s="57">
        <v>0</v>
      </c>
      <c r="N30" s="58">
        <v>0</v>
      </c>
      <c r="O30" s="60">
        <v>0</v>
      </c>
      <c r="P30" s="60">
        <v>0</v>
      </c>
      <c r="Q30" s="60">
        <v>0</v>
      </c>
      <c r="R30" s="60">
        <v>0</v>
      </c>
      <c r="S30" s="58">
        <v>21</v>
      </c>
      <c r="T30" s="58">
        <v>94</v>
      </c>
      <c r="U30" s="58">
        <v>55</v>
      </c>
      <c r="V30" s="58">
        <v>99</v>
      </c>
    </row>
    <row r="31" spans="1:22" ht="13.85" customHeight="1" thickBot="1" x14ac:dyDescent="0.5">
      <c r="B31" s="11" t="s">
        <v>41</v>
      </c>
      <c r="C31" s="10">
        <v>0</v>
      </c>
      <c r="D31" s="9">
        <v>0</v>
      </c>
      <c r="E31" s="10">
        <v>0</v>
      </c>
      <c r="F31" s="9">
        <v>0</v>
      </c>
      <c r="G31" s="9">
        <v>0</v>
      </c>
      <c r="H31" s="9">
        <v>0</v>
      </c>
      <c r="I31" s="9">
        <f t="shared" ref="I31:R31" si="1">SUM(I26:I29)</f>
        <v>334</v>
      </c>
      <c r="J31" s="9">
        <f t="shared" si="1"/>
        <v>445</v>
      </c>
      <c r="K31" s="9">
        <f t="shared" si="1"/>
        <v>446</v>
      </c>
      <c r="L31" s="9">
        <f t="shared" si="1"/>
        <v>861</v>
      </c>
      <c r="M31" s="9">
        <f t="shared" si="1"/>
        <v>585</v>
      </c>
      <c r="N31" s="9">
        <f t="shared" si="1"/>
        <v>1007</v>
      </c>
      <c r="O31" s="9">
        <f t="shared" si="1"/>
        <v>1745</v>
      </c>
      <c r="P31" s="9">
        <f t="shared" si="1"/>
        <v>1121</v>
      </c>
      <c r="Q31" s="9">
        <f t="shared" si="1"/>
        <v>759</v>
      </c>
      <c r="R31" s="9">
        <f t="shared" si="1"/>
        <v>491</v>
      </c>
      <c r="S31" s="9">
        <f>SUM(S26:S30)</f>
        <v>431</v>
      </c>
      <c r="T31" s="9">
        <f>SUM(T26:T30)</f>
        <v>440</v>
      </c>
      <c r="U31" s="9">
        <f>SUM(U26:U30)</f>
        <v>417</v>
      </c>
      <c r="V31" s="9">
        <f>SUM(V26:V30)</f>
        <v>422</v>
      </c>
    </row>
    <row r="32" spans="1:22" ht="13.85" customHeight="1" x14ac:dyDescent="0.45">
      <c r="B32" s="12" t="s">
        <v>39</v>
      </c>
      <c r="C32" s="13">
        <f t="shared" ref="C32:T32" si="2">+C25+C31</f>
        <v>3076</v>
      </c>
      <c r="D32" s="13">
        <f t="shared" si="2"/>
        <v>2693</v>
      </c>
      <c r="E32" s="13">
        <f t="shared" si="2"/>
        <v>2539</v>
      </c>
      <c r="F32" s="13">
        <f t="shared" si="2"/>
        <v>2229</v>
      </c>
      <c r="G32" s="13">
        <f t="shared" si="2"/>
        <v>2332</v>
      </c>
      <c r="H32" s="13">
        <f t="shared" si="2"/>
        <v>2316</v>
      </c>
      <c r="I32" s="13">
        <f t="shared" si="2"/>
        <v>2636</v>
      </c>
      <c r="J32" s="13">
        <f t="shared" si="2"/>
        <v>2563</v>
      </c>
      <c r="K32" s="13">
        <f t="shared" si="2"/>
        <v>2034</v>
      </c>
      <c r="L32" s="13">
        <f t="shared" si="2"/>
        <v>1962</v>
      </c>
      <c r="M32" s="13">
        <f t="shared" si="2"/>
        <v>1722</v>
      </c>
      <c r="N32" s="13">
        <f t="shared" si="2"/>
        <v>2299</v>
      </c>
      <c r="O32" s="13">
        <f t="shared" si="2"/>
        <v>4279</v>
      </c>
      <c r="P32" s="13">
        <f t="shared" si="2"/>
        <v>3374</v>
      </c>
      <c r="Q32" s="13">
        <f t="shared" si="2"/>
        <v>2514</v>
      </c>
      <c r="R32" s="13">
        <f t="shared" si="2"/>
        <v>1699</v>
      </c>
      <c r="S32" s="13">
        <f t="shared" si="2"/>
        <v>1741</v>
      </c>
      <c r="T32" s="13">
        <f t="shared" si="2"/>
        <v>1970</v>
      </c>
      <c r="U32" s="13">
        <f>+U25+U31</f>
        <v>2139</v>
      </c>
      <c r="V32" s="13">
        <f>+V25+V31</f>
        <v>2016</v>
      </c>
    </row>
    <row r="33" spans="19:22" x14ac:dyDescent="0.45">
      <c r="S33" s="4"/>
      <c r="T33" s="4"/>
      <c r="U33" s="4"/>
      <c r="V33" s="4"/>
    </row>
  </sheetData>
  <mergeCells count="1">
    <mergeCell ref="B1:V1"/>
  </mergeCells>
  <phoneticPr fontId="2" type="noConversion"/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DIARIO 04 OCT</vt:lpstr>
      <vt:lpstr>Semanal</vt:lpstr>
      <vt:lpstr>Totales 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Muñoz</dc:creator>
  <cp:lastModifiedBy>Gabriela Bojorquez</cp:lastModifiedBy>
  <dcterms:created xsi:type="dcterms:W3CDTF">2025-05-08T15:20:20Z</dcterms:created>
  <dcterms:modified xsi:type="dcterms:W3CDTF">2026-10-06T04:42:01Z</dcterms:modified>
</cp:coreProperties>
</file>